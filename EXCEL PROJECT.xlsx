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6.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0.xml" ContentType="application/vnd.openxmlformats-officedocument.spreadsheetml.pivotTable+xml"/>
  <Override PartName="/xl/drawings/drawing10.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11.xml" ContentType="application/vnd.openxmlformats-officedocument.spreadsheetml.pivotTable+xml"/>
  <Override PartName="/xl/drawings/drawing11.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12.xml" ContentType="application/vnd.openxmlformats-officedocument.spreadsheetml.pivotTable+xml"/>
  <Override PartName="/xl/drawings/drawing12.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https://d.docs.live.net/ee08fb85c1b66bb9/Documents/"/>
    </mc:Choice>
  </mc:AlternateContent>
  <xr:revisionPtr revIDLastSave="329" documentId="8_{D5E294BB-23AE-4FB2-A1F6-D64D2A2F3A04}" xr6:coauthVersionLast="47" xr6:coauthVersionMax="47" xr10:uidLastSave="{A2112684-26D6-4F70-B53C-7639D2DF79CA}"/>
  <bookViews>
    <workbookView xWindow="-110" yWindow="-110" windowWidth="19420" windowHeight="11020" activeTab="1" xr2:uid="{C9BB9FDF-293E-45FC-83B6-DE2229C93086}"/>
  </bookViews>
  <sheets>
    <sheet name="MASTER DATA" sheetId="5" r:id="rId1"/>
    <sheet name="DASH BOARD" sheetId="6" r:id="rId2"/>
    <sheet name="PRODUCTS" sheetId="10" r:id="rId3"/>
    <sheet name="SALES MENS" sheetId="14" r:id="rId4"/>
    <sheet name="PIVOT TABLE -1" sheetId="7" r:id="rId5"/>
    <sheet name="PIVOT TABLE -2" sheetId="8" r:id="rId6"/>
    <sheet name="PIVOT TABLE-3" sheetId="9" r:id="rId7"/>
    <sheet name="PIVOT TABLE -4" sheetId="11" r:id="rId8"/>
    <sheet name="PIVOT TABLE- 5" sheetId="12" r:id="rId9"/>
    <sheet name="PIVOT TABLE-6" sheetId="13" r:id="rId10"/>
    <sheet name="PIVOT TABLE- 7 " sheetId="19" r:id="rId11"/>
    <sheet name="PIVOT TABLE- 8" sheetId="17" r:id="rId12"/>
    <sheet name="PIVOT TABLE- 9" sheetId="18" r:id="rId13"/>
  </sheets>
  <definedNames>
    <definedName name="NativeTimeline_Date">#N/A</definedName>
    <definedName name="NativeTimeline_Date1">#N/A</definedName>
    <definedName name="QUANTITY">#REF!</definedName>
    <definedName name="Slicer_Place">#N/A</definedName>
    <definedName name="Slicer_Products">#N/A</definedName>
  </definedNames>
  <calcPr calcId="191029"/>
  <pivotCaches>
    <pivotCache cacheId="0" r:id="rId14"/>
  </pivotCaches>
  <extLs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7"/>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79" i="5" l="1"/>
  <c r="G278" i="5"/>
  <c r="G277" i="5"/>
  <c r="G276" i="5"/>
  <c r="G275" i="5"/>
  <c r="G274" i="5"/>
  <c r="G273" i="5"/>
  <c r="G272" i="5"/>
  <c r="G271" i="5"/>
  <c r="G270" i="5"/>
  <c r="G269" i="5"/>
  <c r="G268" i="5"/>
  <c r="G267" i="5"/>
  <c r="G266" i="5"/>
  <c r="G265" i="5"/>
  <c r="G264" i="5"/>
  <c r="G263" i="5"/>
  <c r="G262" i="5"/>
  <c r="G261" i="5"/>
  <c r="G260" i="5"/>
  <c r="G259" i="5"/>
  <c r="G258" i="5"/>
  <c r="G257" i="5"/>
  <c r="G256" i="5"/>
  <c r="G255" i="5"/>
  <c r="G254" i="5"/>
  <c r="G253" i="5"/>
  <c r="G252" i="5"/>
  <c r="G251" i="5"/>
  <c r="G250" i="5"/>
  <c r="G249" i="5"/>
  <c r="G248" i="5"/>
  <c r="G247" i="5"/>
  <c r="G246" i="5"/>
  <c r="G245" i="5"/>
  <c r="G244" i="5"/>
  <c r="G243" i="5"/>
  <c r="G242" i="5"/>
  <c r="G241" i="5"/>
  <c r="G240" i="5"/>
  <c r="G239" i="5"/>
  <c r="G238" i="5"/>
  <c r="G237" i="5"/>
  <c r="G236" i="5"/>
  <c r="G235" i="5"/>
  <c r="G234" i="5"/>
  <c r="G233" i="5"/>
  <c r="G232" i="5"/>
  <c r="G231" i="5"/>
  <c r="G230" i="5"/>
  <c r="G229" i="5"/>
  <c r="G228" i="5"/>
  <c r="G227" i="5"/>
  <c r="G226" i="5"/>
  <c r="G225" i="5"/>
  <c r="G224" i="5"/>
  <c r="G223" i="5"/>
  <c r="G222" i="5"/>
  <c r="G221" i="5"/>
  <c r="G220" i="5"/>
  <c r="G219" i="5"/>
  <c r="G218" i="5"/>
  <c r="G217" i="5"/>
  <c r="G216" i="5"/>
  <c r="G215" i="5"/>
  <c r="G214" i="5"/>
  <c r="G213" i="5"/>
  <c r="G212" i="5"/>
  <c r="G211" i="5"/>
  <c r="G210" i="5"/>
  <c r="G209" i="5"/>
  <c r="G208" i="5"/>
  <c r="G207" i="5"/>
  <c r="G206" i="5"/>
  <c r="G205" i="5"/>
  <c r="G204" i="5"/>
  <c r="G203" i="5"/>
  <c r="G202" i="5"/>
  <c r="G201" i="5"/>
  <c r="G200" i="5"/>
  <c r="G199" i="5"/>
  <c r="G198" i="5"/>
  <c r="G197" i="5"/>
  <c r="G196" i="5"/>
  <c r="G195" i="5"/>
  <c r="G194" i="5"/>
  <c r="G193" i="5"/>
  <c r="G192" i="5"/>
  <c r="G191" i="5"/>
  <c r="G190" i="5"/>
  <c r="G189" i="5"/>
  <c r="G188" i="5"/>
  <c r="G187" i="5"/>
  <c r="G186" i="5"/>
  <c r="G185" i="5"/>
  <c r="G184" i="5"/>
  <c r="G183" i="5"/>
  <c r="G182" i="5"/>
  <c r="G181" i="5"/>
  <c r="G180" i="5"/>
  <c r="G179" i="5"/>
  <c r="G178" i="5"/>
  <c r="G177" i="5"/>
  <c r="G176" i="5"/>
  <c r="G175" i="5"/>
  <c r="G174" i="5"/>
  <c r="G173" i="5"/>
  <c r="G172" i="5"/>
  <c r="G171" i="5"/>
  <c r="G170" i="5"/>
  <c r="G169" i="5"/>
  <c r="G168" i="5"/>
  <c r="G167" i="5"/>
  <c r="G166" i="5"/>
  <c r="G165" i="5"/>
  <c r="G164" i="5"/>
  <c r="G163" i="5"/>
  <c r="G162" i="5"/>
  <c r="G161" i="5"/>
  <c r="G160" i="5"/>
  <c r="G159" i="5"/>
  <c r="G158" i="5"/>
  <c r="G157" i="5"/>
  <c r="G156" i="5"/>
  <c r="G155" i="5"/>
  <c r="G154" i="5"/>
  <c r="G153" i="5"/>
  <c r="G152" i="5"/>
  <c r="G151" i="5"/>
  <c r="G150" i="5"/>
  <c r="G149" i="5"/>
  <c r="G148" i="5"/>
  <c r="G147" i="5"/>
  <c r="G146" i="5"/>
  <c r="G145" i="5"/>
  <c r="G144" i="5"/>
  <c r="G143" i="5"/>
  <c r="G142" i="5"/>
  <c r="G141" i="5"/>
  <c r="G140" i="5"/>
  <c r="G139" i="5"/>
  <c r="G138" i="5"/>
  <c r="G137" i="5"/>
  <c r="G136" i="5"/>
  <c r="G135" i="5"/>
  <c r="G134" i="5"/>
  <c r="G133" i="5"/>
  <c r="G132" i="5"/>
  <c r="G131" i="5"/>
  <c r="G130" i="5"/>
  <c r="G129" i="5"/>
  <c r="G128" i="5"/>
  <c r="G127" i="5"/>
  <c r="G126" i="5"/>
  <c r="G125" i="5"/>
  <c r="G124" i="5"/>
  <c r="G123" i="5"/>
  <c r="G122" i="5"/>
  <c r="G121" i="5"/>
  <c r="G120" i="5"/>
  <c r="G119" i="5"/>
  <c r="G118" i="5"/>
  <c r="G117" i="5"/>
  <c r="G116" i="5"/>
  <c r="G115" i="5"/>
  <c r="G114" i="5"/>
  <c r="G113" i="5"/>
  <c r="G112" i="5"/>
  <c r="G111" i="5"/>
  <c r="G110" i="5"/>
  <c r="G109" i="5"/>
  <c r="G108" i="5"/>
  <c r="G107" i="5"/>
  <c r="G106" i="5"/>
  <c r="G105" i="5"/>
  <c r="G104" i="5"/>
  <c r="G103" i="5"/>
  <c r="G102" i="5"/>
  <c r="G101" i="5"/>
  <c r="G100" i="5"/>
  <c r="G99" i="5"/>
  <c r="G98" i="5"/>
  <c r="G97" i="5"/>
  <c r="G96" i="5"/>
  <c r="G95" i="5"/>
  <c r="G94" i="5"/>
  <c r="G93" i="5"/>
  <c r="G92" i="5"/>
  <c r="G91" i="5"/>
  <c r="G90" i="5"/>
  <c r="G89" i="5"/>
  <c r="G88" i="5"/>
  <c r="G87" i="5"/>
  <c r="G86" i="5"/>
  <c r="G85" i="5"/>
  <c r="G84" i="5"/>
  <c r="G83" i="5"/>
  <c r="G82" i="5"/>
  <c r="G81" i="5"/>
  <c r="G80" i="5"/>
  <c r="G79" i="5"/>
  <c r="G78" i="5"/>
  <c r="G77" i="5"/>
  <c r="G76" i="5"/>
  <c r="G75" i="5"/>
  <c r="G74" i="5"/>
  <c r="G73" i="5"/>
  <c r="G72" i="5"/>
  <c r="G71" i="5"/>
  <c r="G70" i="5"/>
  <c r="G69" i="5"/>
  <c r="G68" i="5"/>
  <c r="G67" i="5"/>
  <c r="G66" i="5"/>
  <c r="G65" i="5"/>
  <c r="G64" i="5"/>
  <c r="G63" i="5"/>
  <c r="G62" i="5"/>
  <c r="G61" i="5"/>
  <c r="G60" i="5"/>
  <c r="G59" i="5"/>
  <c r="G58" i="5"/>
  <c r="G57" i="5"/>
  <c r="G56" i="5"/>
  <c r="G55" i="5"/>
  <c r="G54" i="5"/>
  <c r="G53" i="5"/>
  <c r="G52" i="5"/>
  <c r="G51" i="5"/>
  <c r="G50" i="5"/>
  <c r="G49" i="5"/>
  <c r="G48" i="5"/>
  <c r="G47" i="5"/>
  <c r="G46" i="5"/>
  <c r="G45" i="5"/>
  <c r="G44" i="5"/>
  <c r="G43" i="5"/>
  <c r="G42" i="5"/>
  <c r="G41" i="5"/>
  <c r="G40" i="5"/>
  <c r="G39" i="5"/>
  <c r="G38" i="5"/>
  <c r="G37" i="5"/>
  <c r="G36" i="5"/>
  <c r="G35" i="5"/>
  <c r="G34" i="5"/>
  <c r="G33" i="5"/>
  <c r="G32" i="5"/>
  <c r="G31" i="5"/>
  <c r="G30" i="5"/>
  <c r="G29" i="5"/>
  <c r="G28" i="5"/>
  <c r="G27" i="5"/>
  <c r="G26" i="5"/>
  <c r="G25" i="5"/>
  <c r="G24" i="5"/>
  <c r="G23" i="5"/>
  <c r="G22" i="5"/>
  <c r="G21" i="5"/>
  <c r="G20" i="5"/>
  <c r="G19" i="5"/>
  <c r="G18" i="5"/>
  <c r="G17" i="5"/>
  <c r="G16" i="5"/>
  <c r="G15" i="5"/>
  <c r="G14" i="5"/>
  <c r="G13" i="5"/>
  <c r="G12" i="5"/>
  <c r="G11" i="5"/>
  <c r="G10" i="5"/>
  <c r="G9" i="5"/>
  <c r="G8" i="5"/>
  <c r="G7" i="5"/>
  <c r="G6" i="5"/>
  <c r="G5" i="5"/>
  <c r="G4" i="5"/>
  <c r="G3" i="5"/>
  <c r="G2" i="5"/>
  <c r="C33" i="9"/>
  <c r="C27" i="9"/>
</calcChain>
</file>

<file path=xl/sharedStrings.xml><?xml version="1.0" encoding="utf-8"?>
<sst xmlns="http://schemas.openxmlformats.org/spreadsheetml/2006/main" count="932" uniqueCount="51">
  <si>
    <t>Date</t>
  </si>
  <si>
    <t>Sales Persons</t>
  </si>
  <si>
    <t>Products</t>
  </si>
  <si>
    <t>Place</t>
  </si>
  <si>
    <t>Price</t>
  </si>
  <si>
    <t>Units</t>
  </si>
  <si>
    <t>Amount</t>
  </si>
  <si>
    <t>Ramesh</t>
  </si>
  <si>
    <t>Furniture</t>
  </si>
  <si>
    <t>Guntur</t>
  </si>
  <si>
    <t>Kiran</t>
  </si>
  <si>
    <t>Vijayawada</t>
  </si>
  <si>
    <t>Gopi</t>
  </si>
  <si>
    <t>LED TV's</t>
  </si>
  <si>
    <t>Bapatla</t>
  </si>
  <si>
    <t>Mahesh</t>
  </si>
  <si>
    <t>4K LED TV's</t>
  </si>
  <si>
    <t>Mobiles</t>
  </si>
  <si>
    <t>Tenali</t>
  </si>
  <si>
    <t>Ganesh</t>
  </si>
  <si>
    <t>Laptops</t>
  </si>
  <si>
    <t>Chirala</t>
  </si>
  <si>
    <t>Speakers</t>
  </si>
  <si>
    <t>Prathap</t>
  </si>
  <si>
    <t>Ongole</t>
  </si>
  <si>
    <t>Row Labels</t>
  </si>
  <si>
    <t>Grand Total</t>
  </si>
  <si>
    <t>&lt;01-01-2020</t>
  </si>
  <si>
    <t>Jan</t>
  </si>
  <si>
    <t>Feb</t>
  </si>
  <si>
    <t>Mar</t>
  </si>
  <si>
    <t>Apr</t>
  </si>
  <si>
    <t>May</t>
  </si>
  <si>
    <t>Jun</t>
  </si>
  <si>
    <t>Jul</t>
  </si>
  <si>
    <t>Aug</t>
  </si>
  <si>
    <t>Sep</t>
  </si>
  <si>
    <t>Oct</t>
  </si>
  <si>
    <t>Sum of Amount</t>
  </si>
  <si>
    <t>Count of Amount</t>
  </si>
  <si>
    <t>(blank)</t>
  </si>
  <si>
    <t>Sum of Units</t>
  </si>
  <si>
    <t>SALES OFPRODUCT</t>
  </si>
  <si>
    <t>TOP 3 SALES MENS</t>
  </si>
  <si>
    <t>BOTTOM SALESMENS</t>
  </si>
  <si>
    <t>SALES MANS PERFORMANCE</t>
  </si>
  <si>
    <t>BOTTOM 3 SELLING PRODUCTS</t>
  </si>
  <si>
    <t>TOP 3 SELLING PRODUCTS</t>
  </si>
  <si>
    <t>SALES OF PRODUCTS</t>
  </si>
  <si>
    <t>SALES BY MONTH</t>
  </si>
  <si>
    <t>SALES BY PLACES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</si>
</sst>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_ * #,##0_ ;_ * \-#,##0_ ;_ * &quot;-&quot;??_ ;_ @_ "/>
  </numFmts>
  <fonts count="5" x14ac:knownFonts="1">
    <font>
      <sz val="11"/>
      <color theme="1"/>
      <name val="Calibri"/>
      <family val="2"/>
      <scheme val="minor"/>
    </font>
    <font>
      <sz val="11"/>
      <color theme="1"/>
      <name val="Calibri"/>
      <family val="2"/>
      <scheme val="minor"/>
    </font>
    <font>
      <sz val="11"/>
      <color indexed="8"/>
      <name val="Aptos Narrow"/>
      <charset val="134"/>
    </font>
    <font>
      <b/>
      <sz val="14"/>
      <color indexed="10"/>
      <name val="Aptos Narrow"/>
      <charset val="134"/>
    </font>
    <font>
      <b/>
      <sz val="12"/>
      <color indexed="8"/>
      <name val="Aptos Narrow"/>
      <charset val="134"/>
    </font>
  </fonts>
  <fills count="4">
    <fill>
      <patternFill patternType="none"/>
    </fill>
    <fill>
      <patternFill patternType="gray125"/>
    </fill>
    <fill>
      <patternFill patternType="solid">
        <fgColor rgb="FFFFFF00"/>
        <bgColor indexed="64"/>
      </patternFill>
    </fill>
    <fill>
      <patternFill patternType="solid">
        <fgColor rgb="FFC0E6F5"/>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rgb="FF44B3E1"/>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2">
    <xf numFmtId="0" fontId="0" fillId="0" borderId="0"/>
    <xf numFmtId="43" fontId="1" fillId="0" borderId="0" applyFont="0" applyFill="0" applyBorder="0" applyAlignment="0" applyProtection="0"/>
  </cellStyleXfs>
  <cellXfs count="31">
    <xf numFmtId="0" fontId="0" fillId="0" borderId="0" xfId="0"/>
    <xf numFmtId="0" fontId="2" fillId="0" borderId="0" xfId="0" applyFont="1"/>
    <xf numFmtId="0" fontId="3" fillId="2" borderId="1" xfId="0" applyFont="1" applyFill="1" applyBorder="1" applyAlignment="1">
      <alignment horizontal="left"/>
    </xf>
    <xf numFmtId="0" fontId="3" fillId="2" borderId="1" xfId="0" applyFont="1" applyFill="1" applyBorder="1"/>
    <xf numFmtId="14" fontId="4" fillId="3" borderId="1" xfId="0" applyNumberFormat="1" applyFont="1" applyFill="1" applyBorder="1" applyAlignment="1">
      <alignment horizontal="left"/>
    </xf>
    <xf numFmtId="0" fontId="4" fillId="3" borderId="1" xfId="0" applyFont="1" applyFill="1" applyBorder="1"/>
    <xf numFmtId="3" fontId="4" fillId="3" borderId="1" xfId="0" applyNumberFormat="1" applyFont="1" applyFill="1" applyBorder="1"/>
    <xf numFmtId="14" fontId="4" fillId="0" borderId="1" xfId="0" applyNumberFormat="1" applyFont="1" applyBorder="1" applyAlignment="1">
      <alignment horizontal="left"/>
    </xf>
    <xf numFmtId="0" fontId="4" fillId="0" borderId="1" xfId="0" applyFont="1" applyBorder="1"/>
    <xf numFmtId="3" fontId="4" fillId="0" borderId="1" xfId="0" applyNumberFormat="1" applyFont="1" applyBorder="1"/>
    <xf numFmtId="0" fontId="4" fillId="0" borderId="2" xfId="0" applyFont="1" applyBorder="1"/>
    <xf numFmtId="3" fontId="4" fillId="0" borderId="2" xfId="0" applyNumberFormat="1" applyFont="1" applyBorder="1"/>
    <xf numFmtId="0" fontId="0" fillId="0" borderId="0" xfId="0" pivotButton="1"/>
    <xf numFmtId="0" fontId="0" fillId="0" borderId="0" xfId="0" applyAlignment="1">
      <alignment horizontal="left"/>
    </xf>
    <xf numFmtId="164" fontId="0" fillId="0" borderId="0" xfId="0" applyNumberFormat="1"/>
    <xf numFmtId="164" fontId="0" fillId="0" borderId="0" xfId="1" applyNumberFormat="1" applyFont="1"/>
    <xf numFmtId="10" fontId="0" fillId="0" borderId="0" xfId="0" applyNumberFormat="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 xfId="0" pivotButton="1" applyBorder="1"/>
    <xf numFmtId="0" fontId="0" fillId="0" borderId="1" xfId="0" applyBorder="1"/>
    <xf numFmtId="0" fontId="0" fillId="0" borderId="1" xfId="0" applyBorder="1" applyAlignment="1">
      <alignment horizontal="left"/>
    </xf>
    <xf numFmtId="0" fontId="0" fillId="0" borderId="0" xfId="0" applyNumberFormat="1"/>
    <xf numFmtId="0" fontId="0" fillId="0" borderId="1" xfId="0" applyNumberFormat="1" applyBorder="1"/>
  </cellXfs>
  <cellStyles count="2">
    <cellStyle name="Comma" xfId="1" builtinId="3"/>
    <cellStyle name="Normal" xfId="0" builtinId="0"/>
  </cellStyles>
  <dxfs count="334">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numFmt numFmtId="164" formatCode="_ * #,##0_ ;_ * \-#,##0_ ;_ * &quot;-&quot;??_ ;_ @_ "/>
    </dxf>
    <dxf>
      <numFmt numFmtId="164" formatCode="_ * #,##0_ ;_ * \-#,##0_ ;_ * &quot;-&quot;??_ ;_ @_ "/>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numFmt numFmtId="164" formatCode="_ * #,##0_ ;_ * \-#,##0_ ;_ * &quot;-&quot;??_ ;_ @_ "/>
    </dxf>
    <dxf>
      <numFmt numFmtId="164" formatCode="_ * #,##0_ ;_ * \-#,##0_ ;_ * &quot;-&quot;??_ ;_ @_ "/>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numFmt numFmtId="164" formatCode="_ * #,##0_ ;_ * \-#,##0_ ;_ * &quot;-&quot;??_ ;_ @_ "/>
    </dxf>
    <dxf>
      <numFmt numFmtId="164" formatCode="_ * #,##0_ ;_ * \-#,##0_ ;_ * &quot;-&quot;??_ ;_ @_ "/>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numFmt numFmtId="164" formatCode="_ * #,##0_ ;_ * \-#,##0_ ;_ * &quot;-&quot;??_ ;_ @_ "/>
    </dxf>
    <dxf>
      <numFmt numFmtId="164" formatCode="_ * #,##0_ ;_ * \-#,##0_ ;_ * &quot;-&quot;??_ ;_ @_ "/>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numFmt numFmtId="164" formatCode="_ * #,##0_ ;_ * \-#,##0_ ;_ * &quot;-&quot;??_ ;_ @_ "/>
    </dxf>
    <dxf>
      <numFmt numFmtId="164" formatCode="_ * #,##0_ ;_ * \-#,##0_ ;_ * &quot;-&quot;??_ ;_ @_ "/>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numFmt numFmtId="164" formatCode="_ * #,##0_ ;_ * \-#,##0_ ;_ * &quot;-&quot;??_ ;_ @_ "/>
    </dxf>
    <dxf>
      <numFmt numFmtId="164" formatCode="_ * #,##0_ ;_ * \-#,##0_ ;_ * &quot;-&quot;??_ ;_ @_ "/>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numFmt numFmtId="164" formatCode="_ * #,##0_ ;_ * \-#,##0_ ;_ * &quot;-&quot;??_ ;_ @_ "/>
    </dxf>
    <dxf>
      <numFmt numFmtId="164" formatCode="_ * #,##0_ ;_ * \-#,##0_ ;_ * &quot;-&quot;??_ ;_ @_ "/>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numFmt numFmtId="164" formatCode="_ * #,##0_ ;_ * \-#,##0_ ;_ * &quot;-&quot;??_ ;_ @_ "/>
    </dxf>
    <dxf>
      <numFmt numFmtId="164" formatCode="_ * #,##0_ ;_ * \-#,##0_ ;_ * &quot;-&quot;??_ ;_ @_ "/>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numFmt numFmtId="164" formatCode="_ * #,##0_ ;_ * \-#,##0_ ;_ * &quot;-&quot;??_ ;_ @_ "/>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numFmt numFmtId="164" formatCode="_ * #,##0_ ;_ * \-#,##0_ ;_ * &quot;-&quot;??_ ;_ @_ "/>
    </dxf>
    <dxf>
      <numFmt numFmtId="164" formatCode="_ * #,##0_ ;_ * \-#,##0_ ;_ * &quot;-&quot;??_ ;_ @_ "/>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s>
  <tableStyles count="0" defaultTableStyle="TableStyleMedium2" defaultPivotStyle="PivotStyleLight16"/>
  <colors>
    <mruColors>
      <color rgb="FFDB2D2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1/relationships/timelineCache" Target="timelineCaches/timelineCache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 -2!PIVOT TABLE-2</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-2'!$B$1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-2'!$A$2:$A$9</c:f>
              <c:strCache>
                <c:ptCount val="7"/>
                <c:pt idx="0">
                  <c:v>Bapatla</c:v>
                </c:pt>
                <c:pt idx="1">
                  <c:v>Chirala</c:v>
                </c:pt>
                <c:pt idx="2">
                  <c:v>Guntur</c:v>
                </c:pt>
                <c:pt idx="3">
                  <c:v>Ongole</c:v>
                </c:pt>
                <c:pt idx="4">
                  <c:v>Tenali</c:v>
                </c:pt>
                <c:pt idx="5">
                  <c:v>Vijayawada</c:v>
                </c:pt>
                <c:pt idx="6">
                  <c:v>(blank)</c:v>
                </c:pt>
              </c:strCache>
            </c:strRef>
          </c:cat>
          <c:val>
            <c:numRef>
              <c:f>'PIVOT TABLE -2'!$B$2:$B$9</c:f>
              <c:numCache>
                <c:formatCode>_ * #,##0_ ;_ * \-#,##0_ ;_ * "-"??_ ;_ @_ </c:formatCode>
                <c:ptCount val="7"/>
                <c:pt idx="0">
                  <c:v>16052685</c:v>
                </c:pt>
                <c:pt idx="1">
                  <c:v>16926316</c:v>
                </c:pt>
                <c:pt idx="2">
                  <c:v>19179514</c:v>
                </c:pt>
                <c:pt idx="3">
                  <c:v>10438408</c:v>
                </c:pt>
                <c:pt idx="4">
                  <c:v>41054876</c:v>
                </c:pt>
                <c:pt idx="5">
                  <c:v>15080094</c:v>
                </c:pt>
              </c:numCache>
            </c:numRef>
          </c:val>
          <c:extLst>
            <c:ext xmlns:c16="http://schemas.microsoft.com/office/drawing/2014/chart" uri="{C3380CC4-5D6E-409C-BE32-E72D297353CC}">
              <c16:uniqueId val="{00000000-95F8-44D6-B044-C53A42BADB31}"/>
            </c:ext>
          </c:extLst>
        </c:ser>
        <c:dLbls>
          <c:showLegendKey val="0"/>
          <c:showVal val="0"/>
          <c:showCatName val="0"/>
          <c:showSerName val="0"/>
          <c:showPercent val="0"/>
          <c:showBubbleSize val="0"/>
        </c:dLbls>
        <c:gapWidth val="219"/>
        <c:overlap val="-27"/>
        <c:axId val="1997410047"/>
        <c:axId val="1997410527"/>
      </c:barChart>
      <c:catAx>
        <c:axId val="1997410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7410527"/>
        <c:crosses val="autoZero"/>
        <c:auto val="1"/>
        <c:lblAlgn val="ctr"/>
        <c:lblOffset val="100"/>
        <c:noMultiLvlLbl val="0"/>
      </c:catAx>
      <c:valAx>
        <c:axId val="1997410527"/>
        <c:scaling>
          <c:orientation val="minMax"/>
        </c:scaling>
        <c:delete val="1"/>
        <c:axPos val="l"/>
        <c:majorGridlines>
          <c:spPr>
            <a:ln w="9525" cap="flat" cmpd="sng" algn="ctr">
              <a:noFill/>
              <a:round/>
            </a:ln>
            <a:effectLst/>
          </c:spPr>
        </c:majorGridlines>
        <c:numFmt formatCode="_ * #,##0_ ;_ * \-#,##0_ ;_ * &quot;-&quot;??_ ;_ @_ " sourceLinked="1"/>
        <c:majorTickMark val="none"/>
        <c:minorTickMark val="none"/>
        <c:tickLblPos val="nextTo"/>
        <c:crossAx val="1997410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TABLE-3!PIVOT TABLE-3</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03501961837566"/>
          <c:y val="3.5862112605805234E-2"/>
          <c:w val="0.83115816099546824"/>
          <c:h val="0.88729067187103539"/>
        </c:manualLayout>
      </c:layout>
      <c:barChart>
        <c:barDir val="bar"/>
        <c:grouping val="clustered"/>
        <c:varyColors val="0"/>
        <c:ser>
          <c:idx val="0"/>
          <c:order val="0"/>
          <c:tx>
            <c:strRef>
              <c:f>'PIVOT TABLE-3'!$B$1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TABLE-3'!$A$2:$A$9</c:f>
              <c:strCache>
                <c:ptCount val="7"/>
                <c:pt idx="0">
                  <c:v>4K LED TV's</c:v>
                </c:pt>
                <c:pt idx="1">
                  <c:v>Furniture</c:v>
                </c:pt>
                <c:pt idx="2">
                  <c:v>Laptops</c:v>
                </c:pt>
                <c:pt idx="3">
                  <c:v>LED TV's</c:v>
                </c:pt>
                <c:pt idx="4">
                  <c:v>Mobiles</c:v>
                </c:pt>
                <c:pt idx="5">
                  <c:v>Speakers</c:v>
                </c:pt>
                <c:pt idx="6">
                  <c:v>(blank)</c:v>
                </c:pt>
              </c:strCache>
            </c:strRef>
          </c:cat>
          <c:val>
            <c:numRef>
              <c:f>'PIVOT TABLE-3'!$B$2:$B$9</c:f>
              <c:numCache>
                <c:formatCode>0.00%</c:formatCode>
                <c:ptCount val="7"/>
                <c:pt idx="0">
                  <c:v>0.39442202778658636</c:v>
                </c:pt>
                <c:pt idx="1">
                  <c:v>4.4333858974184806E-2</c:v>
                </c:pt>
                <c:pt idx="2">
                  <c:v>0.41026059443017554</c:v>
                </c:pt>
                <c:pt idx="3">
                  <c:v>2.9676432430838107E-2</c:v>
                </c:pt>
                <c:pt idx="4">
                  <c:v>8.7710746766245865E-2</c:v>
                </c:pt>
                <c:pt idx="5">
                  <c:v>3.3596339611969298E-2</c:v>
                </c:pt>
                <c:pt idx="6">
                  <c:v>0</c:v>
                </c:pt>
              </c:numCache>
            </c:numRef>
          </c:val>
          <c:extLst>
            <c:ext xmlns:c16="http://schemas.microsoft.com/office/drawing/2014/chart" uri="{C3380CC4-5D6E-409C-BE32-E72D297353CC}">
              <c16:uniqueId val="{00000000-B9CC-4C32-B70C-4D2F3EC6205B}"/>
            </c:ext>
          </c:extLst>
        </c:ser>
        <c:dLbls>
          <c:showLegendKey val="0"/>
          <c:showVal val="0"/>
          <c:showCatName val="0"/>
          <c:showSerName val="0"/>
          <c:showPercent val="0"/>
          <c:showBubbleSize val="0"/>
        </c:dLbls>
        <c:gapWidth val="182"/>
        <c:axId val="2119246431"/>
        <c:axId val="2119246911"/>
      </c:barChart>
      <c:catAx>
        <c:axId val="21192464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9246911"/>
        <c:crosses val="autoZero"/>
        <c:auto val="1"/>
        <c:lblAlgn val="ctr"/>
        <c:lblOffset val="100"/>
        <c:noMultiLvlLbl val="0"/>
      </c:catAx>
      <c:valAx>
        <c:axId val="2119246911"/>
        <c:scaling>
          <c:orientation val="minMax"/>
        </c:scaling>
        <c:delete val="1"/>
        <c:axPos val="b"/>
        <c:majorGridlines>
          <c:spPr>
            <a:ln w="9525" cap="flat" cmpd="sng" algn="ctr">
              <a:noFill/>
              <a:round/>
            </a:ln>
            <a:effectLst/>
          </c:spPr>
        </c:majorGridlines>
        <c:numFmt formatCode="0.00%" sourceLinked="1"/>
        <c:majorTickMark val="none"/>
        <c:minorTickMark val="none"/>
        <c:tickLblPos val="nextTo"/>
        <c:crossAx val="2119246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 -1!PIVOT TABLE-1</c:name>
    <c:fmtId val="6"/>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-1'!$B$62</c:f>
              <c:strCache>
                <c:ptCount val="1"/>
                <c:pt idx="0">
                  <c:v>Total</c:v>
                </c:pt>
              </c:strCache>
            </c:strRef>
          </c:tx>
          <c:spPr>
            <a:ln w="28575" cap="rnd">
              <a:solidFill>
                <a:schemeClr val="accent1"/>
              </a:solidFill>
              <a:round/>
            </a:ln>
            <a:effectLst/>
          </c:spPr>
          <c:marker>
            <c:symbol val="none"/>
          </c:marker>
          <c:cat>
            <c:strRef>
              <c:f>'PIVOT TABLE -1'!$A$63:$A$74</c:f>
              <c:strCache>
                <c:ptCount val="11"/>
                <c:pt idx="0">
                  <c:v>&lt;01-01-2020</c:v>
                </c:pt>
                <c:pt idx="1">
                  <c:v>Jan</c:v>
                </c:pt>
                <c:pt idx="2">
                  <c:v>Feb</c:v>
                </c:pt>
                <c:pt idx="3">
                  <c:v>Mar</c:v>
                </c:pt>
                <c:pt idx="4">
                  <c:v>Apr</c:v>
                </c:pt>
                <c:pt idx="5">
                  <c:v>May</c:v>
                </c:pt>
                <c:pt idx="6">
                  <c:v>Jun</c:v>
                </c:pt>
                <c:pt idx="7">
                  <c:v>Jul</c:v>
                </c:pt>
                <c:pt idx="8">
                  <c:v>Aug</c:v>
                </c:pt>
                <c:pt idx="9">
                  <c:v>Sep</c:v>
                </c:pt>
                <c:pt idx="10">
                  <c:v>Oct</c:v>
                </c:pt>
              </c:strCache>
            </c:strRef>
          </c:cat>
          <c:val>
            <c:numRef>
              <c:f>'PIVOT TABLE -1'!$B$63:$B$74</c:f>
              <c:numCache>
                <c:formatCode>General</c:formatCode>
                <c:ptCount val="11"/>
                <c:pt idx="1">
                  <c:v>13159970</c:v>
                </c:pt>
                <c:pt idx="2">
                  <c:v>14618518</c:v>
                </c:pt>
                <c:pt idx="3">
                  <c:v>19775394</c:v>
                </c:pt>
                <c:pt idx="4">
                  <c:v>12933156</c:v>
                </c:pt>
                <c:pt idx="5">
                  <c:v>6664298</c:v>
                </c:pt>
                <c:pt idx="6">
                  <c:v>16471351</c:v>
                </c:pt>
                <c:pt idx="7">
                  <c:v>8221861</c:v>
                </c:pt>
                <c:pt idx="8">
                  <c:v>11159714</c:v>
                </c:pt>
                <c:pt idx="9">
                  <c:v>10437660</c:v>
                </c:pt>
                <c:pt idx="10">
                  <c:v>5289971</c:v>
                </c:pt>
              </c:numCache>
            </c:numRef>
          </c:val>
          <c:smooth val="0"/>
          <c:extLst>
            <c:ext xmlns:c16="http://schemas.microsoft.com/office/drawing/2014/chart" uri="{C3380CC4-5D6E-409C-BE32-E72D297353CC}">
              <c16:uniqueId val="{00000000-9E0B-46A8-8EAC-BC88C58397EB}"/>
            </c:ext>
          </c:extLst>
        </c:ser>
        <c:dLbls>
          <c:showLegendKey val="0"/>
          <c:showVal val="0"/>
          <c:showCatName val="0"/>
          <c:showSerName val="0"/>
          <c:showPercent val="0"/>
          <c:showBubbleSize val="0"/>
        </c:dLbls>
        <c:smooth val="0"/>
        <c:axId val="1008813456"/>
        <c:axId val="1008813936"/>
      </c:lineChart>
      <c:catAx>
        <c:axId val="1008813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8813936"/>
        <c:crosses val="autoZero"/>
        <c:auto val="1"/>
        <c:lblAlgn val="ctr"/>
        <c:lblOffset val="100"/>
        <c:noMultiLvlLbl val="0"/>
      </c:catAx>
      <c:valAx>
        <c:axId val="1008813936"/>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8813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TABLE- 5!PIVOT TABLE -5</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TABLE- 5'!$B$1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TABLE- 5'!$A$2:$A$6</c:f>
              <c:strCache>
                <c:ptCount val="4"/>
                <c:pt idx="0">
                  <c:v>Furniture</c:v>
                </c:pt>
                <c:pt idx="1">
                  <c:v>Mobiles</c:v>
                </c:pt>
                <c:pt idx="2">
                  <c:v>LED TV's</c:v>
                </c:pt>
                <c:pt idx="3">
                  <c:v>(blank)</c:v>
                </c:pt>
              </c:strCache>
            </c:strRef>
          </c:cat>
          <c:val>
            <c:numRef>
              <c:f>'PIVOT TABLE- 5'!$B$2:$B$6</c:f>
              <c:numCache>
                <c:formatCode>General</c:formatCode>
                <c:ptCount val="4"/>
                <c:pt idx="0">
                  <c:v>1233</c:v>
                </c:pt>
                <c:pt idx="1">
                  <c:v>1168</c:v>
                </c:pt>
                <c:pt idx="2">
                  <c:v>694</c:v>
                </c:pt>
              </c:numCache>
            </c:numRef>
          </c:val>
          <c:extLst>
            <c:ext xmlns:c16="http://schemas.microsoft.com/office/drawing/2014/chart" uri="{C3380CC4-5D6E-409C-BE32-E72D297353CC}">
              <c16:uniqueId val="{00000000-2E41-454C-A77D-1358F9572CC6}"/>
            </c:ext>
          </c:extLst>
        </c:ser>
        <c:dLbls>
          <c:showLegendKey val="0"/>
          <c:showVal val="0"/>
          <c:showCatName val="0"/>
          <c:showSerName val="0"/>
          <c:showPercent val="0"/>
          <c:showBubbleSize val="0"/>
        </c:dLbls>
        <c:gapWidth val="182"/>
        <c:axId val="624785215"/>
        <c:axId val="624785695"/>
      </c:barChart>
      <c:catAx>
        <c:axId val="6247852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785695"/>
        <c:crosses val="autoZero"/>
        <c:auto val="1"/>
        <c:lblAlgn val="ctr"/>
        <c:lblOffset val="100"/>
        <c:noMultiLvlLbl val="0"/>
      </c:catAx>
      <c:valAx>
        <c:axId val="624785695"/>
        <c:scaling>
          <c:orientation val="minMax"/>
        </c:scaling>
        <c:delete val="1"/>
        <c:axPos val="b"/>
        <c:majorGridlines>
          <c:spPr>
            <a:ln w="9525" cap="flat" cmpd="sng" algn="ctr">
              <a:noFill/>
              <a:round/>
            </a:ln>
            <a:effectLst/>
          </c:spPr>
        </c:majorGridlines>
        <c:numFmt formatCode="General" sourceLinked="1"/>
        <c:majorTickMark val="none"/>
        <c:minorTickMark val="none"/>
        <c:tickLblPos val="nextTo"/>
        <c:crossAx val="624785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 -4!PIVOT TABLE-4</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-4'!$B$1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-4'!$A$2:$A$5</c:f>
              <c:strCache>
                <c:ptCount val="3"/>
                <c:pt idx="0">
                  <c:v>Speakers</c:v>
                </c:pt>
                <c:pt idx="1">
                  <c:v>4K LED TV's</c:v>
                </c:pt>
                <c:pt idx="2">
                  <c:v>Laptops</c:v>
                </c:pt>
              </c:strCache>
            </c:strRef>
          </c:cat>
          <c:val>
            <c:numRef>
              <c:f>'PIVOT TABLE -4'!$B$2:$B$5</c:f>
              <c:numCache>
                <c:formatCode>General</c:formatCode>
                <c:ptCount val="3"/>
                <c:pt idx="0">
                  <c:v>1457</c:v>
                </c:pt>
                <c:pt idx="1">
                  <c:v>1503</c:v>
                </c:pt>
                <c:pt idx="2">
                  <c:v>1615</c:v>
                </c:pt>
              </c:numCache>
            </c:numRef>
          </c:val>
          <c:extLst>
            <c:ext xmlns:c16="http://schemas.microsoft.com/office/drawing/2014/chart" uri="{C3380CC4-5D6E-409C-BE32-E72D297353CC}">
              <c16:uniqueId val="{00000000-C586-4A28-802A-9C53923DF2BE}"/>
            </c:ext>
          </c:extLst>
        </c:ser>
        <c:dLbls>
          <c:showLegendKey val="0"/>
          <c:showVal val="0"/>
          <c:showCatName val="0"/>
          <c:showSerName val="0"/>
          <c:showPercent val="0"/>
          <c:showBubbleSize val="0"/>
        </c:dLbls>
        <c:gapWidth val="182"/>
        <c:axId val="556695247"/>
        <c:axId val="556671247"/>
      </c:barChart>
      <c:catAx>
        <c:axId val="5566952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6671247"/>
        <c:crosses val="autoZero"/>
        <c:auto val="1"/>
        <c:lblAlgn val="ctr"/>
        <c:lblOffset val="100"/>
        <c:noMultiLvlLbl val="0"/>
      </c:catAx>
      <c:valAx>
        <c:axId val="556671247"/>
        <c:scaling>
          <c:orientation val="minMax"/>
        </c:scaling>
        <c:delete val="1"/>
        <c:axPos val="b"/>
        <c:majorGridlines>
          <c:spPr>
            <a:ln w="9525" cap="flat" cmpd="sng" algn="ctr">
              <a:noFill/>
              <a:round/>
            </a:ln>
            <a:effectLst/>
          </c:spPr>
        </c:majorGridlines>
        <c:numFmt formatCode="General" sourceLinked="1"/>
        <c:majorTickMark val="none"/>
        <c:minorTickMark val="none"/>
        <c:tickLblPos val="nextTo"/>
        <c:crossAx val="556695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TABLE-6!PIVOT TABLE-6</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TABLE-6'!$B$1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TABLE-6'!$A$2:$A$9</c:f>
              <c:strCache>
                <c:ptCount val="7"/>
                <c:pt idx="0">
                  <c:v>4K LED TV's</c:v>
                </c:pt>
                <c:pt idx="1">
                  <c:v>Furniture</c:v>
                </c:pt>
                <c:pt idx="2">
                  <c:v>Laptops</c:v>
                </c:pt>
                <c:pt idx="3">
                  <c:v>LED TV's</c:v>
                </c:pt>
                <c:pt idx="4">
                  <c:v>Mobiles</c:v>
                </c:pt>
                <c:pt idx="5">
                  <c:v>Speakers</c:v>
                </c:pt>
                <c:pt idx="6">
                  <c:v>(blank)</c:v>
                </c:pt>
              </c:strCache>
            </c:strRef>
          </c:cat>
          <c:val>
            <c:numRef>
              <c:f>'PIVOT TABLE-6'!$B$2:$B$9</c:f>
              <c:numCache>
                <c:formatCode>General</c:formatCode>
                <c:ptCount val="7"/>
                <c:pt idx="0">
                  <c:v>1503</c:v>
                </c:pt>
                <c:pt idx="1">
                  <c:v>1233</c:v>
                </c:pt>
                <c:pt idx="2">
                  <c:v>1615</c:v>
                </c:pt>
                <c:pt idx="3">
                  <c:v>694</c:v>
                </c:pt>
                <c:pt idx="4">
                  <c:v>1168</c:v>
                </c:pt>
                <c:pt idx="5">
                  <c:v>1457</c:v>
                </c:pt>
              </c:numCache>
            </c:numRef>
          </c:val>
          <c:extLst>
            <c:ext xmlns:c16="http://schemas.microsoft.com/office/drawing/2014/chart" uri="{C3380CC4-5D6E-409C-BE32-E72D297353CC}">
              <c16:uniqueId val="{00000000-4563-421A-9A99-3EF7EB40627E}"/>
            </c:ext>
          </c:extLst>
        </c:ser>
        <c:dLbls>
          <c:showLegendKey val="0"/>
          <c:showVal val="0"/>
          <c:showCatName val="0"/>
          <c:showSerName val="0"/>
          <c:showPercent val="0"/>
          <c:showBubbleSize val="0"/>
        </c:dLbls>
        <c:gapWidth val="219"/>
        <c:overlap val="-27"/>
        <c:axId val="591755967"/>
        <c:axId val="591749247"/>
      </c:barChart>
      <c:catAx>
        <c:axId val="591755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749247"/>
        <c:crosses val="autoZero"/>
        <c:auto val="1"/>
        <c:lblAlgn val="ctr"/>
        <c:lblOffset val="100"/>
        <c:noMultiLvlLbl val="0"/>
      </c:catAx>
      <c:valAx>
        <c:axId val="591749247"/>
        <c:scaling>
          <c:orientation val="minMax"/>
        </c:scaling>
        <c:delete val="1"/>
        <c:axPos val="l"/>
        <c:numFmt formatCode="General" sourceLinked="1"/>
        <c:majorTickMark val="none"/>
        <c:minorTickMark val="none"/>
        <c:tickLblPos val="nextTo"/>
        <c:crossAx val="591755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TABLE- 8!PIVOT TABLE-8</c:name>
    <c:fmtId val="3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TABLE- 8'!$B$1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TABLE- 8'!$A$2:$A$6</c:f>
              <c:strCache>
                <c:ptCount val="4"/>
                <c:pt idx="0">
                  <c:v>Prathap</c:v>
                </c:pt>
                <c:pt idx="1">
                  <c:v>Ramesh</c:v>
                </c:pt>
                <c:pt idx="2">
                  <c:v>Mahesh</c:v>
                </c:pt>
                <c:pt idx="3">
                  <c:v>(blank)</c:v>
                </c:pt>
              </c:strCache>
            </c:strRef>
          </c:cat>
          <c:val>
            <c:numRef>
              <c:f>'PIVOT TABLE- 8'!$B$2:$B$6</c:f>
              <c:numCache>
                <c:formatCode>General</c:formatCode>
                <c:ptCount val="4"/>
                <c:pt idx="0">
                  <c:v>1285</c:v>
                </c:pt>
                <c:pt idx="1">
                  <c:v>947</c:v>
                </c:pt>
                <c:pt idx="2">
                  <c:v>810</c:v>
                </c:pt>
              </c:numCache>
            </c:numRef>
          </c:val>
          <c:extLst>
            <c:ext xmlns:c16="http://schemas.microsoft.com/office/drawing/2014/chart" uri="{C3380CC4-5D6E-409C-BE32-E72D297353CC}">
              <c16:uniqueId val="{00000000-1C9E-46A0-9803-FF8BAB4D1FE2}"/>
            </c:ext>
          </c:extLst>
        </c:ser>
        <c:dLbls>
          <c:showLegendKey val="0"/>
          <c:showVal val="0"/>
          <c:showCatName val="0"/>
          <c:showSerName val="0"/>
          <c:showPercent val="0"/>
          <c:showBubbleSize val="0"/>
        </c:dLbls>
        <c:gapWidth val="182"/>
        <c:axId val="1531591839"/>
        <c:axId val="1541073343"/>
      </c:barChart>
      <c:catAx>
        <c:axId val="15315918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1073343"/>
        <c:crosses val="autoZero"/>
        <c:auto val="1"/>
        <c:lblAlgn val="ctr"/>
        <c:lblOffset val="100"/>
        <c:noMultiLvlLbl val="0"/>
      </c:catAx>
      <c:valAx>
        <c:axId val="1541073343"/>
        <c:scaling>
          <c:orientation val="minMax"/>
        </c:scaling>
        <c:delete val="1"/>
        <c:axPos val="b"/>
        <c:majorGridlines>
          <c:spPr>
            <a:ln w="9525" cap="flat" cmpd="sng" algn="ctr">
              <a:noFill/>
              <a:round/>
            </a:ln>
            <a:effectLst/>
          </c:spPr>
        </c:majorGridlines>
        <c:numFmt formatCode="General" sourceLinked="1"/>
        <c:majorTickMark val="none"/>
        <c:minorTickMark val="none"/>
        <c:tickLblPos val="nextTo"/>
        <c:crossAx val="1531591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TABLE- 7 !PIVOT TABLE-7</c:name>
    <c:fmtId val="3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TABLE- 7 '!$B$1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TABLE- 7 '!$A$2:$A$5</c:f>
              <c:strCache>
                <c:ptCount val="3"/>
                <c:pt idx="0">
                  <c:v>Kiran</c:v>
                </c:pt>
                <c:pt idx="1">
                  <c:v>Gopi</c:v>
                </c:pt>
                <c:pt idx="2">
                  <c:v>Ganesh</c:v>
                </c:pt>
              </c:strCache>
            </c:strRef>
          </c:cat>
          <c:val>
            <c:numRef>
              <c:f>'PIVOT TABLE- 7 '!$B$2:$B$5</c:f>
              <c:numCache>
                <c:formatCode>General</c:formatCode>
                <c:ptCount val="3"/>
                <c:pt idx="0">
                  <c:v>1407</c:v>
                </c:pt>
                <c:pt idx="1">
                  <c:v>1534</c:v>
                </c:pt>
                <c:pt idx="2">
                  <c:v>1687</c:v>
                </c:pt>
              </c:numCache>
            </c:numRef>
          </c:val>
          <c:extLst>
            <c:ext xmlns:c16="http://schemas.microsoft.com/office/drawing/2014/chart" uri="{C3380CC4-5D6E-409C-BE32-E72D297353CC}">
              <c16:uniqueId val="{00000000-0715-4FF7-AB47-68BED1D1058B}"/>
            </c:ext>
          </c:extLst>
        </c:ser>
        <c:dLbls>
          <c:showLegendKey val="0"/>
          <c:showVal val="0"/>
          <c:showCatName val="0"/>
          <c:showSerName val="0"/>
          <c:showPercent val="0"/>
          <c:showBubbleSize val="0"/>
        </c:dLbls>
        <c:gapWidth val="182"/>
        <c:axId val="1521274335"/>
        <c:axId val="1521276255"/>
      </c:barChart>
      <c:catAx>
        <c:axId val="15212743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1276255"/>
        <c:crosses val="autoZero"/>
        <c:auto val="1"/>
        <c:lblAlgn val="ctr"/>
        <c:lblOffset val="100"/>
        <c:noMultiLvlLbl val="0"/>
      </c:catAx>
      <c:valAx>
        <c:axId val="1521276255"/>
        <c:scaling>
          <c:orientation val="minMax"/>
        </c:scaling>
        <c:delete val="1"/>
        <c:axPos val="b"/>
        <c:majorGridlines>
          <c:spPr>
            <a:ln w="9525" cap="flat" cmpd="sng" algn="ctr">
              <a:noFill/>
              <a:round/>
            </a:ln>
            <a:effectLst/>
          </c:spPr>
        </c:majorGridlines>
        <c:numFmt formatCode="General" sourceLinked="1"/>
        <c:majorTickMark val="none"/>
        <c:minorTickMark val="none"/>
        <c:tickLblPos val="nextTo"/>
        <c:crossAx val="1521274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TABLE- 9!PIVOT TABLE-9</c:name>
    <c:fmtId val="3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4.1666666666666664E-2"/>
          <c:w val="0.82664807524059492"/>
          <c:h val="0.8416746864975212"/>
        </c:manualLayout>
      </c:layout>
      <c:barChart>
        <c:barDir val="col"/>
        <c:grouping val="clustered"/>
        <c:varyColors val="0"/>
        <c:ser>
          <c:idx val="0"/>
          <c:order val="0"/>
          <c:tx>
            <c:strRef>
              <c:f>'PIVOT TABLE- 9'!$B$1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TABLE- 9'!$A$2:$A$9</c:f>
              <c:strCache>
                <c:ptCount val="7"/>
                <c:pt idx="0">
                  <c:v>Ganesh</c:v>
                </c:pt>
                <c:pt idx="1">
                  <c:v>Gopi</c:v>
                </c:pt>
                <c:pt idx="2">
                  <c:v>Kiran</c:v>
                </c:pt>
                <c:pt idx="3">
                  <c:v>Mahesh</c:v>
                </c:pt>
                <c:pt idx="4">
                  <c:v>Prathap</c:v>
                </c:pt>
                <c:pt idx="5">
                  <c:v>Ramesh</c:v>
                </c:pt>
                <c:pt idx="6">
                  <c:v>(blank)</c:v>
                </c:pt>
              </c:strCache>
            </c:strRef>
          </c:cat>
          <c:val>
            <c:numRef>
              <c:f>'PIVOT TABLE- 9'!$B$2:$B$9</c:f>
              <c:numCache>
                <c:formatCode>General</c:formatCode>
                <c:ptCount val="7"/>
                <c:pt idx="0">
                  <c:v>1687</c:v>
                </c:pt>
                <c:pt idx="1">
                  <c:v>1534</c:v>
                </c:pt>
                <c:pt idx="2">
                  <c:v>1407</c:v>
                </c:pt>
                <c:pt idx="3">
                  <c:v>810</c:v>
                </c:pt>
                <c:pt idx="4">
                  <c:v>1285</c:v>
                </c:pt>
                <c:pt idx="5">
                  <c:v>947</c:v>
                </c:pt>
              </c:numCache>
            </c:numRef>
          </c:val>
          <c:extLst>
            <c:ext xmlns:c16="http://schemas.microsoft.com/office/drawing/2014/chart" uri="{C3380CC4-5D6E-409C-BE32-E72D297353CC}">
              <c16:uniqueId val="{00000000-B0C8-4292-BA5C-960991589AB9}"/>
            </c:ext>
          </c:extLst>
        </c:ser>
        <c:dLbls>
          <c:showLegendKey val="0"/>
          <c:showVal val="0"/>
          <c:showCatName val="0"/>
          <c:showSerName val="0"/>
          <c:showPercent val="0"/>
          <c:showBubbleSize val="0"/>
        </c:dLbls>
        <c:gapWidth val="219"/>
        <c:overlap val="-27"/>
        <c:axId val="1558207183"/>
        <c:axId val="1558215343"/>
      </c:barChart>
      <c:catAx>
        <c:axId val="1558207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8215343"/>
        <c:crosses val="autoZero"/>
        <c:auto val="1"/>
        <c:lblAlgn val="ctr"/>
        <c:lblOffset val="100"/>
        <c:noMultiLvlLbl val="0"/>
      </c:catAx>
      <c:valAx>
        <c:axId val="1558215343"/>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155820718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 -1!PIVOT TABLE-1</c:name>
    <c:fmtId val="1"/>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-1'!$B$62</c:f>
              <c:strCache>
                <c:ptCount val="1"/>
                <c:pt idx="0">
                  <c:v>Total</c:v>
                </c:pt>
              </c:strCache>
            </c:strRef>
          </c:tx>
          <c:spPr>
            <a:ln w="28575" cap="rnd">
              <a:solidFill>
                <a:schemeClr val="accent1"/>
              </a:solidFill>
              <a:round/>
            </a:ln>
            <a:effectLst/>
          </c:spPr>
          <c:marker>
            <c:symbol val="none"/>
          </c:marker>
          <c:cat>
            <c:strRef>
              <c:f>'PIVOT TABLE -1'!$A$63:$A$74</c:f>
              <c:strCache>
                <c:ptCount val="11"/>
                <c:pt idx="0">
                  <c:v>&lt;01-01-2020</c:v>
                </c:pt>
                <c:pt idx="1">
                  <c:v>Jan</c:v>
                </c:pt>
                <c:pt idx="2">
                  <c:v>Feb</c:v>
                </c:pt>
                <c:pt idx="3">
                  <c:v>Mar</c:v>
                </c:pt>
                <c:pt idx="4">
                  <c:v>Apr</c:v>
                </c:pt>
                <c:pt idx="5">
                  <c:v>May</c:v>
                </c:pt>
                <c:pt idx="6">
                  <c:v>Jun</c:v>
                </c:pt>
                <c:pt idx="7">
                  <c:v>Jul</c:v>
                </c:pt>
                <c:pt idx="8">
                  <c:v>Aug</c:v>
                </c:pt>
                <c:pt idx="9">
                  <c:v>Sep</c:v>
                </c:pt>
                <c:pt idx="10">
                  <c:v>Oct</c:v>
                </c:pt>
              </c:strCache>
            </c:strRef>
          </c:cat>
          <c:val>
            <c:numRef>
              <c:f>'PIVOT TABLE -1'!$B$63:$B$74</c:f>
              <c:numCache>
                <c:formatCode>General</c:formatCode>
                <c:ptCount val="11"/>
                <c:pt idx="1">
                  <c:v>13159970</c:v>
                </c:pt>
                <c:pt idx="2">
                  <c:v>14618518</c:v>
                </c:pt>
                <c:pt idx="3">
                  <c:v>19775394</c:v>
                </c:pt>
                <c:pt idx="4">
                  <c:v>12933156</c:v>
                </c:pt>
                <c:pt idx="5">
                  <c:v>6664298</c:v>
                </c:pt>
                <c:pt idx="6">
                  <c:v>16471351</c:v>
                </c:pt>
                <c:pt idx="7">
                  <c:v>8221861</c:v>
                </c:pt>
                <c:pt idx="8">
                  <c:v>11159714</c:v>
                </c:pt>
                <c:pt idx="9">
                  <c:v>10437660</c:v>
                </c:pt>
                <c:pt idx="10">
                  <c:v>5289971</c:v>
                </c:pt>
              </c:numCache>
            </c:numRef>
          </c:val>
          <c:smooth val="0"/>
          <c:extLst>
            <c:ext xmlns:c16="http://schemas.microsoft.com/office/drawing/2014/chart" uri="{C3380CC4-5D6E-409C-BE32-E72D297353CC}">
              <c16:uniqueId val="{00000000-E78E-4355-B79A-152DDE274D26}"/>
            </c:ext>
          </c:extLst>
        </c:ser>
        <c:dLbls>
          <c:showLegendKey val="0"/>
          <c:showVal val="0"/>
          <c:showCatName val="0"/>
          <c:showSerName val="0"/>
          <c:showPercent val="0"/>
          <c:showBubbleSize val="0"/>
        </c:dLbls>
        <c:smooth val="0"/>
        <c:axId val="1008813456"/>
        <c:axId val="1008813936"/>
      </c:lineChart>
      <c:catAx>
        <c:axId val="1008813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8813936"/>
        <c:crosses val="autoZero"/>
        <c:auto val="1"/>
        <c:lblAlgn val="ctr"/>
        <c:lblOffset val="100"/>
        <c:noMultiLvlLbl val="0"/>
      </c:catAx>
      <c:valAx>
        <c:axId val="1008813936"/>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8813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 -2!PIVOT TABLE-2</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-2'!$B$1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-2'!$A$2:$A$9</c:f>
              <c:strCache>
                <c:ptCount val="7"/>
                <c:pt idx="0">
                  <c:v>Bapatla</c:v>
                </c:pt>
                <c:pt idx="1">
                  <c:v>Chirala</c:v>
                </c:pt>
                <c:pt idx="2">
                  <c:v>Guntur</c:v>
                </c:pt>
                <c:pt idx="3">
                  <c:v>Ongole</c:v>
                </c:pt>
                <c:pt idx="4">
                  <c:v>Tenali</c:v>
                </c:pt>
                <c:pt idx="5">
                  <c:v>Vijayawada</c:v>
                </c:pt>
                <c:pt idx="6">
                  <c:v>(blank)</c:v>
                </c:pt>
              </c:strCache>
            </c:strRef>
          </c:cat>
          <c:val>
            <c:numRef>
              <c:f>'PIVOT TABLE -2'!$B$2:$B$9</c:f>
              <c:numCache>
                <c:formatCode>_ * #,##0_ ;_ * \-#,##0_ ;_ * "-"??_ ;_ @_ </c:formatCode>
                <c:ptCount val="7"/>
                <c:pt idx="0">
                  <c:v>16052685</c:v>
                </c:pt>
                <c:pt idx="1">
                  <c:v>16926316</c:v>
                </c:pt>
                <c:pt idx="2">
                  <c:v>19179514</c:v>
                </c:pt>
                <c:pt idx="3">
                  <c:v>10438408</c:v>
                </c:pt>
                <c:pt idx="4">
                  <c:v>41054876</c:v>
                </c:pt>
                <c:pt idx="5">
                  <c:v>15080094</c:v>
                </c:pt>
              </c:numCache>
            </c:numRef>
          </c:val>
          <c:extLst>
            <c:ext xmlns:c16="http://schemas.microsoft.com/office/drawing/2014/chart" uri="{C3380CC4-5D6E-409C-BE32-E72D297353CC}">
              <c16:uniqueId val="{00000000-6A1B-42B0-8346-7503D498E79C}"/>
            </c:ext>
          </c:extLst>
        </c:ser>
        <c:dLbls>
          <c:showLegendKey val="0"/>
          <c:showVal val="0"/>
          <c:showCatName val="0"/>
          <c:showSerName val="0"/>
          <c:showPercent val="0"/>
          <c:showBubbleSize val="0"/>
        </c:dLbls>
        <c:gapWidth val="219"/>
        <c:overlap val="-27"/>
        <c:axId val="1997410047"/>
        <c:axId val="1997410527"/>
      </c:barChart>
      <c:catAx>
        <c:axId val="1997410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7410527"/>
        <c:crosses val="autoZero"/>
        <c:auto val="1"/>
        <c:lblAlgn val="ctr"/>
        <c:lblOffset val="100"/>
        <c:noMultiLvlLbl val="0"/>
      </c:catAx>
      <c:valAx>
        <c:axId val="1997410527"/>
        <c:scaling>
          <c:orientation val="minMax"/>
        </c:scaling>
        <c:delete val="1"/>
        <c:axPos val="l"/>
        <c:majorGridlines>
          <c:spPr>
            <a:ln w="9525" cap="flat" cmpd="sng" algn="ctr">
              <a:noFill/>
              <a:round/>
            </a:ln>
            <a:effectLst/>
          </c:spPr>
        </c:majorGridlines>
        <c:numFmt formatCode="_ * #,##0_ ;_ * \-#,##0_ ;_ * &quot;-&quot;??_ ;_ @_ " sourceLinked="1"/>
        <c:majorTickMark val="none"/>
        <c:minorTickMark val="none"/>
        <c:tickLblPos val="nextTo"/>
        <c:crossAx val="1997410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TABLE-3!PIVOT TABLE-3</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TABLE-3'!$B$1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TABLE-3'!$A$2:$A$9</c:f>
              <c:strCache>
                <c:ptCount val="7"/>
                <c:pt idx="0">
                  <c:v>4K LED TV's</c:v>
                </c:pt>
                <c:pt idx="1">
                  <c:v>Furniture</c:v>
                </c:pt>
                <c:pt idx="2">
                  <c:v>Laptops</c:v>
                </c:pt>
                <c:pt idx="3">
                  <c:v>LED TV's</c:v>
                </c:pt>
                <c:pt idx="4">
                  <c:v>Mobiles</c:v>
                </c:pt>
                <c:pt idx="5">
                  <c:v>Speakers</c:v>
                </c:pt>
                <c:pt idx="6">
                  <c:v>(blank)</c:v>
                </c:pt>
              </c:strCache>
            </c:strRef>
          </c:cat>
          <c:val>
            <c:numRef>
              <c:f>'PIVOT TABLE-3'!$B$2:$B$9</c:f>
              <c:numCache>
                <c:formatCode>0.00%</c:formatCode>
                <c:ptCount val="7"/>
                <c:pt idx="0">
                  <c:v>0.39442202778658636</c:v>
                </c:pt>
                <c:pt idx="1">
                  <c:v>4.4333858974184806E-2</c:v>
                </c:pt>
                <c:pt idx="2">
                  <c:v>0.41026059443017554</c:v>
                </c:pt>
                <c:pt idx="3">
                  <c:v>2.9676432430838107E-2</c:v>
                </c:pt>
                <c:pt idx="4">
                  <c:v>8.7710746766245865E-2</c:v>
                </c:pt>
                <c:pt idx="5">
                  <c:v>3.3596339611969298E-2</c:v>
                </c:pt>
                <c:pt idx="6">
                  <c:v>0</c:v>
                </c:pt>
              </c:numCache>
            </c:numRef>
          </c:val>
          <c:extLst>
            <c:ext xmlns:c16="http://schemas.microsoft.com/office/drawing/2014/chart" uri="{C3380CC4-5D6E-409C-BE32-E72D297353CC}">
              <c16:uniqueId val="{00000000-4AE6-4DE4-8B25-2C6B946CAFCF}"/>
            </c:ext>
          </c:extLst>
        </c:ser>
        <c:dLbls>
          <c:showLegendKey val="0"/>
          <c:showVal val="0"/>
          <c:showCatName val="0"/>
          <c:showSerName val="0"/>
          <c:showPercent val="0"/>
          <c:showBubbleSize val="0"/>
        </c:dLbls>
        <c:gapWidth val="182"/>
        <c:axId val="2119246431"/>
        <c:axId val="2119246911"/>
      </c:barChart>
      <c:catAx>
        <c:axId val="21192464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9246911"/>
        <c:crosses val="autoZero"/>
        <c:auto val="1"/>
        <c:lblAlgn val="ctr"/>
        <c:lblOffset val="100"/>
        <c:noMultiLvlLbl val="0"/>
      </c:catAx>
      <c:valAx>
        <c:axId val="2119246911"/>
        <c:scaling>
          <c:orientation val="minMax"/>
        </c:scaling>
        <c:delete val="1"/>
        <c:axPos val="b"/>
        <c:majorGridlines>
          <c:spPr>
            <a:ln w="9525" cap="flat" cmpd="sng" algn="ctr">
              <a:noFill/>
              <a:round/>
            </a:ln>
            <a:effectLst/>
          </c:spPr>
        </c:majorGridlines>
        <c:numFmt formatCode="0.00%" sourceLinked="1"/>
        <c:majorTickMark val="none"/>
        <c:minorTickMark val="none"/>
        <c:tickLblPos val="nextTo"/>
        <c:crossAx val="2119246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 -4!PIVOT TABLE-4</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-4'!$B$1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-4'!$A$2:$A$5</c:f>
              <c:strCache>
                <c:ptCount val="3"/>
                <c:pt idx="0">
                  <c:v>Speakers</c:v>
                </c:pt>
                <c:pt idx="1">
                  <c:v>4K LED TV's</c:v>
                </c:pt>
                <c:pt idx="2">
                  <c:v>Laptops</c:v>
                </c:pt>
              </c:strCache>
            </c:strRef>
          </c:cat>
          <c:val>
            <c:numRef>
              <c:f>'PIVOT TABLE -4'!$B$2:$B$5</c:f>
              <c:numCache>
                <c:formatCode>General</c:formatCode>
                <c:ptCount val="3"/>
                <c:pt idx="0">
                  <c:v>1457</c:v>
                </c:pt>
                <c:pt idx="1">
                  <c:v>1503</c:v>
                </c:pt>
                <c:pt idx="2">
                  <c:v>1615</c:v>
                </c:pt>
              </c:numCache>
            </c:numRef>
          </c:val>
          <c:extLst>
            <c:ext xmlns:c16="http://schemas.microsoft.com/office/drawing/2014/chart" uri="{C3380CC4-5D6E-409C-BE32-E72D297353CC}">
              <c16:uniqueId val="{00000000-8170-4B2C-B980-D4C09ED8D501}"/>
            </c:ext>
          </c:extLst>
        </c:ser>
        <c:dLbls>
          <c:showLegendKey val="0"/>
          <c:showVal val="0"/>
          <c:showCatName val="0"/>
          <c:showSerName val="0"/>
          <c:showPercent val="0"/>
          <c:showBubbleSize val="0"/>
        </c:dLbls>
        <c:gapWidth val="182"/>
        <c:axId val="556695247"/>
        <c:axId val="556671247"/>
      </c:barChart>
      <c:catAx>
        <c:axId val="5566952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6671247"/>
        <c:crosses val="autoZero"/>
        <c:auto val="1"/>
        <c:lblAlgn val="ctr"/>
        <c:lblOffset val="100"/>
        <c:noMultiLvlLbl val="0"/>
      </c:catAx>
      <c:valAx>
        <c:axId val="556671247"/>
        <c:scaling>
          <c:orientation val="minMax"/>
        </c:scaling>
        <c:delete val="1"/>
        <c:axPos val="b"/>
        <c:majorGridlines>
          <c:spPr>
            <a:ln w="9525" cap="flat" cmpd="sng" algn="ctr">
              <a:noFill/>
              <a:round/>
            </a:ln>
            <a:effectLst/>
          </c:spPr>
        </c:majorGridlines>
        <c:numFmt formatCode="General" sourceLinked="1"/>
        <c:majorTickMark val="none"/>
        <c:minorTickMark val="none"/>
        <c:tickLblPos val="nextTo"/>
        <c:crossAx val="556695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TABLE- 5!PIVOT TABLE -5</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TABLE- 5'!$B$1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TABLE- 5'!$A$2:$A$6</c:f>
              <c:strCache>
                <c:ptCount val="4"/>
                <c:pt idx="0">
                  <c:v>Furniture</c:v>
                </c:pt>
                <c:pt idx="1">
                  <c:v>Mobiles</c:v>
                </c:pt>
                <c:pt idx="2">
                  <c:v>LED TV's</c:v>
                </c:pt>
                <c:pt idx="3">
                  <c:v>(blank)</c:v>
                </c:pt>
              </c:strCache>
            </c:strRef>
          </c:cat>
          <c:val>
            <c:numRef>
              <c:f>'PIVOT TABLE- 5'!$B$2:$B$6</c:f>
              <c:numCache>
                <c:formatCode>General</c:formatCode>
                <c:ptCount val="4"/>
                <c:pt idx="0">
                  <c:v>1233</c:v>
                </c:pt>
                <c:pt idx="1">
                  <c:v>1168</c:v>
                </c:pt>
                <c:pt idx="2">
                  <c:v>694</c:v>
                </c:pt>
              </c:numCache>
            </c:numRef>
          </c:val>
          <c:extLst>
            <c:ext xmlns:c16="http://schemas.microsoft.com/office/drawing/2014/chart" uri="{C3380CC4-5D6E-409C-BE32-E72D297353CC}">
              <c16:uniqueId val="{00000000-821D-4FDC-BE84-37E84BE566C1}"/>
            </c:ext>
          </c:extLst>
        </c:ser>
        <c:dLbls>
          <c:showLegendKey val="0"/>
          <c:showVal val="0"/>
          <c:showCatName val="0"/>
          <c:showSerName val="0"/>
          <c:showPercent val="0"/>
          <c:showBubbleSize val="0"/>
        </c:dLbls>
        <c:gapWidth val="182"/>
        <c:axId val="624785215"/>
        <c:axId val="624785695"/>
      </c:barChart>
      <c:catAx>
        <c:axId val="6247852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785695"/>
        <c:crosses val="autoZero"/>
        <c:auto val="1"/>
        <c:lblAlgn val="ctr"/>
        <c:lblOffset val="100"/>
        <c:noMultiLvlLbl val="0"/>
      </c:catAx>
      <c:valAx>
        <c:axId val="624785695"/>
        <c:scaling>
          <c:orientation val="minMax"/>
        </c:scaling>
        <c:delete val="1"/>
        <c:axPos val="b"/>
        <c:majorGridlines>
          <c:spPr>
            <a:ln w="9525" cap="flat" cmpd="sng" algn="ctr">
              <a:noFill/>
              <a:round/>
            </a:ln>
            <a:effectLst/>
          </c:spPr>
        </c:majorGridlines>
        <c:numFmt formatCode="General" sourceLinked="1"/>
        <c:majorTickMark val="none"/>
        <c:minorTickMark val="none"/>
        <c:tickLblPos val="nextTo"/>
        <c:crossAx val="624785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TABLE-6!PIVOT TABLE-6</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TABLE-6'!$B$1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TABLE-6'!$A$2:$A$9</c:f>
              <c:strCache>
                <c:ptCount val="7"/>
                <c:pt idx="0">
                  <c:v>4K LED TV's</c:v>
                </c:pt>
                <c:pt idx="1">
                  <c:v>Furniture</c:v>
                </c:pt>
                <c:pt idx="2">
                  <c:v>Laptops</c:v>
                </c:pt>
                <c:pt idx="3">
                  <c:v>LED TV's</c:v>
                </c:pt>
                <c:pt idx="4">
                  <c:v>Mobiles</c:v>
                </c:pt>
                <c:pt idx="5">
                  <c:v>Speakers</c:v>
                </c:pt>
                <c:pt idx="6">
                  <c:v>(blank)</c:v>
                </c:pt>
              </c:strCache>
            </c:strRef>
          </c:cat>
          <c:val>
            <c:numRef>
              <c:f>'PIVOT TABLE-6'!$B$2:$B$9</c:f>
              <c:numCache>
                <c:formatCode>General</c:formatCode>
                <c:ptCount val="7"/>
                <c:pt idx="0">
                  <c:v>1503</c:v>
                </c:pt>
                <c:pt idx="1">
                  <c:v>1233</c:v>
                </c:pt>
                <c:pt idx="2">
                  <c:v>1615</c:v>
                </c:pt>
                <c:pt idx="3">
                  <c:v>694</c:v>
                </c:pt>
                <c:pt idx="4">
                  <c:v>1168</c:v>
                </c:pt>
                <c:pt idx="5">
                  <c:v>1457</c:v>
                </c:pt>
              </c:numCache>
            </c:numRef>
          </c:val>
          <c:extLst>
            <c:ext xmlns:c16="http://schemas.microsoft.com/office/drawing/2014/chart" uri="{C3380CC4-5D6E-409C-BE32-E72D297353CC}">
              <c16:uniqueId val="{00000000-1A50-4262-A780-96AA9EA0E728}"/>
            </c:ext>
          </c:extLst>
        </c:ser>
        <c:dLbls>
          <c:showLegendKey val="0"/>
          <c:showVal val="0"/>
          <c:showCatName val="0"/>
          <c:showSerName val="0"/>
          <c:showPercent val="0"/>
          <c:showBubbleSize val="0"/>
        </c:dLbls>
        <c:gapWidth val="219"/>
        <c:overlap val="-27"/>
        <c:axId val="591755967"/>
        <c:axId val="591749247"/>
      </c:barChart>
      <c:catAx>
        <c:axId val="591755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749247"/>
        <c:crosses val="autoZero"/>
        <c:auto val="1"/>
        <c:lblAlgn val="ctr"/>
        <c:lblOffset val="100"/>
        <c:noMultiLvlLbl val="0"/>
      </c:catAx>
      <c:valAx>
        <c:axId val="591749247"/>
        <c:scaling>
          <c:orientation val="minMax"/>
        </c:scaling>
        <c:delete val="1"/>
        <c:axPos val="l"/>
        <c:numFmt formatCode="General" sourceLinked="1"/>
        <c:majorTickMark val="none"/>
        <c:minorTickMark val="none"/>
        <c:tickLblPos val="nextTo"/>
        <c:crossAx val="591755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TABLE- 7 !PIVOT TABLE-7</c:name>
    <c:fmtId val="3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TABLE- 7 '!$B$1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TABLE- 7 '!$A$2:$A$5</c:f>
              <c:strCache>
                <c:ptCount val="3"/>
                <c:pt idx="0">
                  <c:v>Kiran</c:v>
                </c:pt>
                <c:pt idx="1">
                  <c:v>Gopi</c:v>
                </c:pt>
                <c:pt idx="2">
                  <c:v>Ganesh</c:v>
                </c:pt>
              </c:strCache>
            </c:strRef>
          </c:cat>
          <c:val>
            <c:numRef>
              <c:f>'PIVOT TABLE- 7 '!$B$2:$B$5</c:f>
              <c:numCache>
                <c:formatCode>General</c:formatCode>
                <c:ptCount val="3"/>
                <c:pt idx="0">
                  <c:v>1407</c:v>
                </c:pt>
                <c:pt idx="1">
                  <c:v>1534</c:v>
                </c:pt>
                <c:pt idx="2">
                  <c:v>1687</c:v>
                </c:pt>
              </c:numCache>
            </c:numRef>
          </c:val>
          <c:extLst>
            <c:ext xmlns:c16="http://schemas.microsoft.com/office/drawing/2014/chart" uri="{C3380CC4-5D6E-409C-BE32-E72D297353CC}">
              <c16:uniqueId val="{00000000-81E0-4B81-A51B-B1443F3671FD}"/>
            </c:ext>
          </c:extLst>
        </c:ser>
        <c:dLbls>
          <c:showLegendKey val="0"/>
          <c:showVal val="0"/>
          <c:showCatName val="0"/>
          <c:showSerName val="0"/>
          <c:showPercent val="0"/>
          <c:showBubbleSize val="0"/>
        </c:dLbls>
        <c:gapWidth val="182"/>
        <c:axId val="1521274335"/>
        <c:axId val="1521276255"/>
      </c:barChart>
      <c:catAx>
        <c:axId val="15212743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1276255"/>
        <c:crosses val="autoZero"/>
        <c:auto val="1"/>
        <c:lblAlgn val="ctr"/>
        <c:lblOffset val="100"/>
        <c:noMultiLvlLbl val="0"/>
      </c:catAx>
      <c:valAx>
        <c:axId val="1521276255"/>
        <c:scaling>
          <c:orientation val="minMax"/>
        </c:scaling>
        <c:delete val="1"/>
        <c:axPos val="b"/>
        <c:majorGridlines>
          <c:spPr>
            <a:ln w="9525" cap="flat" cmpd="sng" algn="ctr">
              <a:noFill/>
              <a:round/>
            </a:ln>
            <a:effectLst/>
          </c:spPr>
        </c:majorGridlines>
        <c:numFmt formatCode="General" sourceLinked="1"/>
        <c:majorTickMark val="none"/>
        <c:minorTickMark val="none"/>
        <c:tickLblPos val="nextTo"/>
        <c:crossAx val="1521274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TABLE- 8!PIVOT TABLE-8</c:name>
    <c:fmtId val="3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TABLE- 8'!$B$1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TABLE- 8'!$A$2:$A$6</c:f>
              <c:strCache>
                <c:ptCount val="4"/>
                <c:pt idx="0">
                  <c:v>Prathap</c:v>
                </c:pt>
                <c:pt idx="1">
                  <c:v>Ramesh</c:v>
                </c:pt>
                <c:pt idx="2">
                  <c:v>Mahesh</c:v>
                </c:pt>
                <c:pt idx="3">
                  <c:v>(blank)</c:v>
                </c:pt>
              </c:strCache>
            </c:strRef>
          </c:cat>
          <c:val>
            <c:numRef>
              <c:f>'PIVOT TABLE- 8'!$B$2:$B$6</c:f>
              <c:numCache>
                <c:formatCode>General</c:formatCode>
                <c:ptCount val="4"/>
                <c:pt idx="0">
                  <c:v>1285</c:v>
                </c:pt>
                <c:pt idx="1">
                  <c:v>947</c:v>
                </c:pt>
                <c:pt idx="2">
                  <c:v>810</c:v>
                </c:pt>
              </c:numCache>
            </c:numRef>
          </c:val>
          <c:extLst>
            <c:ext xmlns:c16="http://schemas.microsoft.com/office/drawing/2014/chart" uri="{C3380CC4-5D6E-409C-BE32-E72D297353CC}">
              <c16:uniqueId val="{00000000-43E0-4A26-8A48-4B6E4C0A1409}"/>
            </c:ext>
          </c:extLst>
        </c:ser>
        <c:dLbls>
          <c:showLegendKey val="0"/>
          <c:showVal val="0"/>
          <c:showCatName val="0"/>
          <c:showSerName val="0"/>
          <c:showPercent val="0"/>
          <c:showBubbleSize val="0"/>
        </c:dLbls>
        <c:gapWidth val="182"/>
        <c:axId val="1531591839"/>
        <c:axId val="1541073343"/>
      </c:barChart>
      <c:catAx>
        <c:axId val="15315918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1073343"/>
        <c:crosses val="autoZero"/>
        <c:auto val="1"/>
        <c:lblAlgn val="ctr"/>
        <c:lblOffset val="100"/>
        <c:noMultiLvlLbl val="0"/>
      </c:catAx>
      <c:valAx>
        <c:axId val="1541073343"/>
        <c:scaling>
          <c:orientation val="minMax"/>
        </c:scaling>
        <c:delete val="1"/>
        <c:axPos val="b"/>
        <c:majorGridlines>
          <c:spPr>
            <a:ln w="9525" cap="flat" cmpd="sng" algn="ctr">
              <a:noFill/>
              <a:round/>
            </a:ln>
            <a:effectLst/>
          </c:spPr>
        </c:majorGridlines>
        <c:numFmt formatCode="General" sourceLinked="1"/>
        <c:majorTickMark val="none"/>
        <c:minorTickMark val="none"/>
        <c:tickLblPos val="nextTo"/>
        <c:crossAx val="1531591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TABLE- 9!PIVOT TABLE-9</c:name>
    <c:fmtId val="3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TABLE- 9'!$B$1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TABLE- 9'!$A$2:$A$9</c:f>
              <c:strCache>
                <c:ptCount val="7"/>
                <c:pt idx="0">
                  <c:v>Ganesh</c:v>
                </c:pt>
                <c:pt idx="1">
                  <c:v>Gopi</c:v>
                </c:pt>
                <c:pt idx="2">
                  <c:v>Kiran</c:v>
                </c:pt>
                <c:pt idx="3">
                  <c:v>Mahesh</c:v>
                </c:pt>
                <c:pt idx="4">
                  <c:v>Prathap</c:v>
                </c:pt>
                <c:pt idx="5">
                  <c:v>Ramesh</c:v>
                </c:pt>
                <c:pt idx="6">
                  <c:v>(blank)</c:v>
                </c:pt>
              </c:strCache>
            </c:strRef>
          </c:cat>
          <c:val>
            <c:numRef>
              <c:f>'PIVOT TABLE- 9'!$B$2:$B$9</c:f>
              <c:numCache>
                <c:formatCode>General</c:formatCode>
                <c:ptCount val="7"/>
                <c:pt idx="0">
                  <c:v>1687</c:v>
                </c:pt>
                <c:pt idx="1">
                  <c:v>1534</c:v>
                </c:pt>
                <c:pt idx="2">
                  <c:v>1407</c:v>
                </c:pt>
                <c:pt idx="3">
                  <c:v>810</c:v>
                </c:pt>
                <c:pt idx="4">
                  <c:v>1285</c:v>
                </c:pt>
                <c:pt idx="5">
                  <c:v>947</c:v>
                </c:pt>
              </c:numCache>
            </c:numRef>
          </c:val>
          <c:extLst>
            <c:ext xmlns:c16="http://schemas.microsoft.com/office/drawing/2014/chart" uri="{C3380CC4-5D6E-409C-BE32-E72D297353CC}">
              <c16:uniqueId val="{00000000-963D-4429-9905-AA9B7B1E9635}"/>
            </c:ext>
          </c:extLst>
        </c:ser>
        <c:dLbls>
          <c:showLegendKey val="0"/>
          <c:showVal val="0"/>
          <c:showCatName val="0"/>
          <c:showSerName val="0"/>
          <c:showPercent val="0"/>
          <c:showBubbleSize val="0"/>
        </c:dLbls>
        <c:gapWidth val="219"/>
        <c:overlap val="-27"/>
        <c:axId val="1558207183"/>
        <c:axId val="1558215343"/>
      </c:barChart>
      <c:catAx>
        <c:axId val="1558207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8215343"/>
        <c:crosses val="autoZero"/>
        <c:auto val="1"/>
        <c:lblAlgn val="ctr"/>
        <c:lblOffset val="100"/>
        <c:noMultiLvlLbl val="0"/>
      </c:catAx>
      <c:valAx>
        <c:axId val="1558215343"/>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1558207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hyperlink" Target="#PRODUCTS!A1"/><Relationship Id="rId7" Type="http://schemas.openxmlformats.org/officeDocument/2006/relationships/chart" Target="../charts/chart1.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4.svg"/><Relationship Id="rId11" Type="http://schemas.openxmlformats.org/officeDocument/2006/relationships/chart" Target="../charts/chart3.xml"/><Relationship Id="rId5" Type="http://schemas.openxmlformats.org/officeDocument/2006/relationships/image" Target="../media/image3.png"/><Relationship Id="rId10" Type="http://schemas.openxmlformats.org/officeDocument/2006/relationships/chart" Target="../charts/chart2.xml"/><Relationship Id="rId4" Type="http://schemas.openxmlformats.org/officeDocument/2006/relationships/hyperlink" Target="#'SALES MENS'!A1"/><Relationship Id="rId9" Type="http://schemas.openxmlformats.org/officeDocument/2006/relationships/image" Target="../media/image6.svg"/></Relationships>
</file>

<file path=xl/drawings/_rels/drawing2.xml.rels><?xml version="1.0" encoding="UTF-8" standalone="yes"?>
<Relationships xmlns="http://schemas.openxmlformats.org/package/2006/relationships"><Relationship Id="rId3" Type="http://schemas.openxmlformats.org/officeDocument/2006/relationships/hyperlink" Target="#'DASH BOARD'!A1"/><Relationship Id="rId7" Type="http://schemas.openxmlformats.org/officeDocument/2006/relationships/chart" Target="../charts/chart6.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hyperlink" Target="#'SALES MENS'!A1"/></Relationships>
</file>

<file path=xl/drawings/_rels/drawing3.xml.rels><?xml version="1.0" encoding="UTF-8" standalone="yes"?>
<Relationships xmlns="http://schemas.openxmlformats.org/package/2006/relationships"><Relationship Id="rId3" Type="http://schemas.openxmlformats.org/officeDocument/2006/relationships/hyperlink" Target="#'DASH BOARD'!A1"/><Relationship Id="rId7" Type="http://schemas.openxmlformats.org/officeDocument/2006/relationships/chart" Target="../charts/chart9.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hyperlink" Target="#PRODUCTS!A1"/></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0</xdr:col>
      <xdr:colOff>106986</xdr:colOff>
      <xdr:row>0</xdr:row>
      <xdr:rowOff>43873</xdr:rowOff>
    </xdr:from>
    <xdr:to>
      <xdr:col>22</xdr:col>
      <xdr:colOff>473747</xdr:colOff>
      <xdr:row>33</xdr:row>
      <xdr:rowOff>48106</xdr:rowOff>
    </xdr:to>
    <xdr:sp macro="" textlink="">
      <xdr:nvSpPr>
        <xdr:cNvPr id="2" name="Rectangle: Rounded Corners 1">
          <a:extLst>
            <a:ext uri="{FF2B5EF4-FFF2-40B4-BE49-F238E27FC236}">
              <a16:creationId xmlns:a16="http://schemas.microsoft.com/office/drawing/2014/main" id="{EE5C36EC-A140-FF35-4037-2DE0A7DC7C88}"/>
            </a:ext>
          </a:extLst>
        </xdr:cNvPr>
        <xdr:cNvSpPr/>
      </xdr:nvSpPr>
      <xdr:spPr>
        <a:xfrm>
          <a:off x="106986" y="43873"/>
          <a:ext cx="13843702" cy="6167468"/>
        </a:xfrm>
        <a:prstGeom prst="roundRect">
          <a:avLst>
            <a:gd name="adj" fmla="val 503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74057</xdr:colOff>
      <xdr:row>0</xdr:row>
      <xdr:rowOff>64303</xdr:rowOff>
    </xdr:from>
    <xdr:to>
      <xdr:col>22</xdr:col>
      <xdr:colOff>447549</xdr:colOff>
      <xdr:row>33</xdr:row>
      <xdr:rowOff>17017</xdr:rowOff>
    </xdr:to>
    <xdr:sp macro="" textlink="">
      <xdr:nvSpPr>
        <xdr:cNvPr id="56" name="Rectangle: Rounded Corners 55">
          <a:extLst>
            <a:ext uri="{FF2B5EF4-FFF2-40B4-BE49-F238E27FC236}">
              <a16:creationId xmlns:a16="http://schemas.microsoft.com/office/drawing/2014/main" id="{21C297B4-8128-1481-DEDA-0B03DF9129AD}"/>
            </a:ext>
          </a:extLst>
        </xdr:cNvPr>
        <xdr:cNvSpPr/>
      </xdr:nvSpPr>
      <xdr:spPr>
        <a:xfrm>
          <a:off x="1906715" y="64303"/>
          <a:ext cx="11980328" cy="6053537"/>
        </a:xfrm>
        <a:prstGeom prst="roundRect">
          <a:avLst>
            <a:gd name="adj" fmla="val 7540"/>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325641</xdr:colOff>
      <xdr:row>0</xdr:row>
      <xdr:rowOff>162820</xdr:rowOff>
    </xdr:from>
    <xdr:to>
      <xdr:col>12</xdr:col>
      <xdr:colOff>529167</xdr:colOff>
      <xdr:row>7</xdr:row>
      <xdr:rowOff>130257</xdr:rowOff>
    </xdr:to>
    <mc:AlternateContent xmlns:mc="http://schemas.openxmlformats.org/markup-compatibility/2006" xmlns:tsle="http://schemas.microsoft.com/office/drawing/2012/timeslicer">
      <mc:Choice Requires="tsle">
        <xdr:graphicFrame macro="">
          <xdr:nvGraphicFramePr>
            <xdr:cNvPr id="4" name="Date 1">
              <a:extLst>
                <a:ext uri="{FF2B5EF4-FFF2-40B4-BE49-F238E27FC236}">
                  <a16:creationId xmlns:a16="http://schemas.microsoft.com/office/drawing/2014/main" id="{8C9A115F-8F26-4096-86DB-D69B95B38FF7}"/>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2157372" y="162820"/>
              <a:ext cx="5698718" cy="127814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12</xdr:col>
      <xdr:colOff>586155</xdr:colOff>
      <xdr:row>0</xdr:row>
      <xdr:rowOff>146537</xdr:rowOff>
    </xdr:from>
    <xdr:to>
      <xdr:col>22</xdr:col>
      <xdr:colOff>187244</xdr:colOff>
      <xdr:row>7</xdr:row>
      <xdr:rowOff>146539</xdr:rowOff>
    </xdr:to>
    <mc:AlternateContent xmlns:mc="http://schemas.openxmlformats.org/markup-compatibility/2006" xmlns:a14="http://schemas.microsoft.com/office/drawing/2010/main">
      <mc:Choice Requires="a14">
        <xdr:graphicFrame macro="">
          <xdr:nvGraphicFramePr>
            <xdr:cNvPr id="5" name="Place 1">
              <a:extLst>
                <a:ext uri="{FF2B5EF4-FFF2-40B4-BE49-F238E27FC236}">
                  <a16:creationId xmlns:a16="http://schemas.microsoft.com/office/drawing/2014/main" id="{E0E57DE3-398E-45F3-8173-6CF00C54A010}"/>
                </a:ext>
              </a:extLst>
            </xdr:cNvPr>
            <xdr:cNvGraphicFramePr/>
          </xdr:nvGraphicFramePr>
          <xdr:xfrm>
            <a:off x="0" y="0"/>
            <a:ext cx="0" cy="0"/>
          </xdr:xfrm>
          <a:graphic>
            <a:graphicData uri="http://schemas.microsoft.com/office/drawing/2010/slicer">
              <sle:slicer xmlns:sle="http://schemas.microsoft.com/office/drawing/2010/slicer" name="Place 1"/>
            </a:graphicData>
          </a:graphic>
        </xdr:graphicFrame>
      </mc:Choice>
      <mc:Fallback xmlns="">
        <xdr:sp macro="" textlink="">
          <xdr:nvSpPr>
            <xdr:cNvPr id="0" name=""/>
            <xdr:cNvSpPr>
              <a:spLocks noTextEdit="1"/>
            </xdr:cNvSpPr>
          </xdr:nvSpPr>
          <xdr:spPr>
            <a:xfrm>
              <a:off x="7913078" y="146537"/>
              <a:ext cx="5706858" cy="13107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293078</xdr:colOff>
      <xdr:row>8</xdr:row>
      <xdr:rowOff>888</xdr:rowOff>
    </xdr:from>
    <xdr:to>
      <xdr:col>22</xdr:col>
      <xdr:colOff>179103</xdr:colOff>
      <xdr:row>11</xdr:row>
      <xdr:rowOff>74157</xdr:rowOff>
    </xdr:to>
    <mc:AlternateContent xmlns:mc="http://schemas.openxmlformats.org/markup-compatibility/2006" xmlns:a14="http://schemas.microsoft.com/office/drawing/2010/main">
      <mc:Choice Requires="a14">
        <xdr:graphicFrame macro="">
          <xdr:nvGraphicFramePr>
            <xdr:cNvPr id="6" name="Products 1">
              <a:extLst>
                <a:ext uri="{FF2B5EF4-FFF2-40B4-BE49-F238E27FC236}">
                  <a16:creationId xmlns:a16="http://schemas.microsoft.com/office/drawing/2014/main" id="{33EA389B-35C1-4502-A0BE-54B76175278F}"/>
                </a:ext>
              </a:extLst>
            </xdr:cNvPr>
            <xdr:cNvGraphicFramePr/>
          </xdr:nvGraphicFramePr>
          <xdr:xfrm>
            <a:off x="0" y="0"/>
            <a:ext cx="0" cy="0"/>
          </xdr:xfrm>
          <a:graphic>
            <a:graphicData uri="http://schemas.microsoft.com/office/drawing/2010/slicer">
              <sle:slicer xmlns:sle="http://schemas.microsoft.com/office/drawing/2010/slicer" name="Products 1"/>
            </a:graphicData>
          </a:graphic>
        </xdr:graphicFrame>
      </mc:Choice>
      <mc:Fallback xmlns="">
        <xdr:sp macro="" textlink="">
          <xdr:nvSpPr>
            <xdr:cNvPr id="0" name=""/>
            <xdr:cNvSpPr>
              <a:spLocks noTextEdit="1"/>
            </xdr:cNvSpPr>
          </xdr:nvSpPr>
          <xdr:spPr>
            <a:xfrm>
              <a:off x="2124809" y="1498837"/>
              <a:ext cx="11486986" cy="6349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276796</xdr:colOff>
      <xdr:row>11</xdr:row>
      <xdr:rowOff>113975</xdr:rowOff>
    </xdr:from>
    <xdr:to>
      <xdr:col>4</xdr:col>
      <xdr:colOff>8141</xdr:colOff>
      <xdr:row>13</xdr:row>
      <xdr:rowOff>81409</xdr:rowOff>
    </xdr:to>
    <xdr:pic>
      <xdr:nvPicPr>
        <xdr:cNvPr id="8" name="Graphic 7" descr="Bar chart with solid fill">
          <a:extLst>
            <a:ext uri="{FF2B5EF4-FFF2-40B4-BE49-F238E27FC236}">
              <a16:creationId xmlns:a16="http://schemas.microsoft.com/office/drawing/2014/main" id="{35B9E996-8FB1-9D95-784D-AF0E1871541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08527" y="2173654"/>
          <a:ext cx="341922" cy="341922"/>
        </a:xfrm>
        <a:prstGeom prst="rect">
          <a:avLst/>
        </a:prstGeom>
      </xdr:spPr>
    </xdr:pic>
    <xdr:clientData/>
  </xdr:twoCellAnchor>
  <xdr:twoCellAnchor>
    <xdr:from>
      <xdr:col>3</xdr:col>
      <xdr:colOff>594295</xdr:colOff>
      <xdr:row>11</xdr:row>
      <xdr:rowOff>130256</xdr:rowOff>
    </xdr:from>
    <xdr:to>
      <xdr:col>6</xdr:col>
      <xdr:colOff>472179</xdr:colOff>
      <xdr:row>13</xdr:row>
      <xdr:rowOff>138397</xdr:rowOff>
    </xdr:to>
    <xdr:sp macro="" textlink="">
      <xdr:nvSpPr>
        <xdr:cNvPr id="9" name="Rectangle 8">
          <a:extLst>
            <a:ext uri="{FF2B5EF4-FFF2-40B4-BE49-F238E27FC236}">
              <a16:creationId xmlns:a16="http://schemas.microsoft.com/office/drawing/2014/main" id="{BAFC50F7-2900-DD21-2543-A72A5DE3742A}"/>
            </a:ext>
          </a:extLst>
        </xdr:cNvPr>
        <xdr:cNvSpPr/>
      </xdr:nvSpPr>
      <xdr:spPr>
        <a:xfrm>
          <a:off x="2426026" y="2189935"/>
          <a:ext cx="1709615" cy="38262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tx2">
                  <a:lumMod val="50000"/>
                </a:schemeClr>
              </a:solidFill>
            </a:rPr>
            <a:t>ANALYTICS</a:t>
          </a:r>
        </a:p>
      </xdr:txBody>
    </xdr:sp>
    <xdr:clientData/>
  </xdr:twoCellAnchor>
  <xdr:twoCellAnchor>
    <xdr:from>
      <xdr:col>8</xdr:col>
      <xdr:colOff>97694</xdr:colOff>
      <xdr:row>14</xdr:row>
      <xdr:rowOff>139285</xdr:rowOff>
    </xdr:from>
    <xdr:to>
      <xdr:col>12</xdr:col>
      <xdr:colOff>390770</xdr:colOff>
      <xdr:row>17</xdr:row>
      <xdr:rowOff>154680</xdr:rowOff>
    </xdr:to>
    <xdr:sp macro="" textlink="">
      <xdr:nvSpPr>
        <xdr:cNvPr id="11" name="Rectangle: Rounded Corners 10">
          <a:extLst>
            <a:ext uri="{FF2B5EF4-FFF2-40B4-BE49-F238E27FC236}">
              <a16:creationId xmlns:a16="http://schemas.microsoft.com/office/drawing/2014/main" id="{9D9762C5-E038-46BC-9B75-AA6A4DE0E15F}"/>
            </a:ext>
          </a:extLst>
        </xdr:cNvPr>
        <xdr:cNvSpPr/>
      </xdr:nvSpPr>
      <xdr:spPr>
        <a:xfrm>
          <a:off x="4982309" y="2760695"/>
          <a:ext cx="2735384" cy="577126"/>
        </a:xfrm>
        <a:prstGeom prst="round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586274</xdr:colOff>
      <xdr:row>14</xdr:row>
      <xdr:rowOff>160244</xdr:rowOff>
    </xdr:from>
    <xdr:to>
      <xdr:col>12</xdr:col>
      <xdr:colOff>350183</xdr:colOff>
      <xdr:row>17</xdr:row>
      <xdr:rowOff>152103</xdr:rowOff>
    </xdr:to>
    <xdr:sp macro="" textlink="">
      <xdr:nvSpPr>
        <xdr:cNvPr id="13" name="Rectangle: Rounded Corners 12">
          <a:extLst>
            <a:ext uri="{FF2B5EF4-FFF2-40B4-BE49-F238E27FC236}">
              <a16:creationId xmlns:a16="http://schemas.microsoft.com/office/drawing/2014/main" id="{B4D952D1-AF73-4BDD-8423-240C7FE43685}"/>
            </a:ext>
          </a:extLst>
        </xdr:cNvPr>
        <xdr:cNvSpPr/>
      </xdr:nvSpPr>
      <xdr:spPr>
        <a:xfrm>
          <a:off x="5491102" y="2714842"/>
          <a:ext cx="2216322" cy="539272"/>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3</xdr:col>
      <xdr:colOff>363776</xdr:colOff>
      <xdr:row>18</xdr:row>
      <xdr:rowOff>46007</xdr:rowOff>
    </xdr:from>
    <xdr:to>
      <xdr:col>12</xdr:col>
      <xdr:colOff>412622</xdr:colOff>
      <xdr:row>31</xdr:row>
      <xdr:rowOff>183171</xdr:rowOff>
    </xdr:to>
    <xdr:sp macro="" textlink="">
      <xdr:nvSpPr>
        <xdr:cNvPr id="14" name="Rectangle 13">
          <a:extLst>
            <a:ext uri="{FF2B5EF4-FFF2-40B4-BE49-F238E27FC236}">
              <a16:creationId xmlns:a16="http://schemas.microsoft.com/office/drawing/2014/main" id="{15C2D82B-5AFD-1849-5CFC-EB3689796108}"/>
            </a:ext>
          </a:extLst>
        </xdr:cNvPr>
        <xdr:cNvSpPr/>
      </xdr:nvSpPr>
      <xdr:spPr>
        <a:xfrm>
          <a:off x="2191806" y="3394189"/>
          <a:ext cx="5532937" cy="255529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12</xdr:col>
      <xdr:colOff>518352</xdr:colOff>
      <xdr:row>11</xdr:row>
      <xdr:rowOff>156905</xdr:rowOff>
    </xdr:from>
    <xdr:to>
      <xdr:col>22</xdr:col>
      <xdr:colOff>184570</xdr:colOff>
      <xdr:row>21</xdr:row>
      <xdr:rowOff>9477</xdr:rowOff>
    </xdr:to>
    <xdr:sp macro="" textlink="">
      <xdr:nvSpPr>
        <xdr:cNvPr id="15" name="Rectangle 14">
          <a:extLst>
            <a:ext uri="{FF2B5EF4-FFF2-40B4-BE49-F238E27FC236}">
              <a16:creationId xmlns:a16="http://schemas.microsoft.com/office/drawing/2014/main" id="{7872651E-555E-4B04-AE84-7673ED9DF59F}"/>
            </a:ext>
          </a:extLst>
        </xdr:cNvPr>
        <xdr:cNvSpPr/>
      </xdr:nvSpPr>
      <xdr:spPr>
        <a:xfrm>
          <a:off x="7797158" y="2137726"/>
          <a:ext cx="5731890" cy="1653318"/>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543169</xdr:colOff>
      <xdr:row>21</xdr:row>
      <xdr:rowOff>63738</xdr:rowOff>
    </xdr:from>
    <xdr:to>
      <xdr:col>22</xdr:col>
      <xdr:colOff>209387</xdr:colOff>
      <xdr:row>32</xdr:row>
      <xdr:rowOff>56988</xdr:rowOff>
    </xdr:to>
    <xdr:sp macro="" textlink="">
      <xdr:nvSpPr>
        <xdr:cNvPr id="16" name="Rectangle 15">
          <a:extLst>
            <a:ext uri="{FF2B5EF4-FFF2-40B4-BE49-F238E27FC236}">
              <a16:creationId xmlns:a16="http://schemas.microsoft.com/office/drawing/2014/main" id="{54FF71BA-611B-443E-AFF7-253567C42FB6}"/>
            </a:ext>
          </a:extLst>
        </xdr:cNvPr>
        <xdr:cNvSpPr/>
      </xdr:nvSpPr>
      <xdr:spPr>
        <a:xfrm>
          <a:off x="7870092" y="3995853"/>
          <a:ext cx="5771987" cy="205293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135468</xdr:colOff>
      <xdr:row>9</xdr:row>
      <xdr:rowOff>163913</xdr:rowOff>
    </xdr:from>
    <xdr:to>
      <xdr:col>2</xdr:col>
      <xdr:colOff>591950</xdr:colOff>
      <xdr:row>12</xdr:row>
      <xdr:rowOff>48967</xdr:rowOff>
    </xdr:to>
    <xdr:sp macro="" textlink="">
      <xdr:nvSpPr>
        <xdr:cNvPr id="17" name="Rectangle: Rounded Corners 16">
          <a:extLst>
            <a:ext uri="{FF2B5EF4-FFF2-40B4-BE49-F238E27FC236}">
              <a16:creationId xmlns:a16="http://schemas.microsoft.com/office/drawing/2014/main" id="{32C6F9C6-2147-CD64-7F0A-902BC5EE6C13}"/>
            </a:ext>
          </a:extLst>
        </xdr:cNvPr>
        <xdr:cNvSpPr/>
      </xdr:nvSpPr>
      <xdr:spPr>
        <a:xfrm>
          <a:off x="135468" y="1840313"/>
          <a:ext cx="1675682" cy="44385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cap="none" spc="0">
              <a:ln w="0"/>
              <a:solidFill>
                <a:schemeClr val="tx1"/>
              </a:solidFill>
              <a:effectLst>
                <a:outerShdw blurRad="38100" dist="19050" dir="2700000" algn="tl" rotWithShape="0">
                  <a:schemeClr val="dk1">
                    <a:alpha val="40000"/>
                  </a:schemeClr>
                </a:outerShdw>
              </a:effectLst>
            </a:rPr>
            <a:t>DASH BOARD</a:t>
          </a:r>
        </a:p>
      </xdr:txBody>
    </xdr:sp>
    <xdr:clientData/>
  </xdr:twoCellAnchor>
  <xdr:twoCellAnchor>
    <xdr:from>
      <xdr:col>0</xdr:col>
      <xdr:colOff>150918</xdr:colOff>
      <xdr:row>13</xdr:row>
      <xdr:rowOff>91262</xdr:rowOff>
    </xdr:from>
    <xdr:to>
      <xdr:col>3</xdr:col>
      <xdr:colOff>248</xdr:colOff>
      <xdr:row>15</xdr:row>
      <xdr:rowOff>156391</xdr:rowOff>
    </xdr:to>
    <xdr:sp macro="" textlink="">
      <xdr:nvSpPr>
        <xdr:cNvPr id="18" name="Rectangle: Rounded Corners 17">
          <a:hlinkClick xmlns:r="http://schemas.openxmlformats.org/officeDocument/2006/relationships" r:id="rId3"/>
          <a:extLst>
            <a:ext uri="{FF2B5EF4-FFF2-40B4-BE49-F238E27FC236}">
              <a16:creationId xmlns:a16="http://schemas.microsoft.com/office/drawing/2014/main" id="{BFDD6BA9-1F0E-4984-9A72-3D40011F34AA}"/>
            </a:ext>
          </a:extLst>
        </xdr:cNvPr>
        <xdr:cNvSpPr/>
      </xdr:nvSpPr>
      <xdr:spPr>
        <a:xfrm>
          <a:off x="150918" y="2432232"/>
          <a:ext cx="1669031" cy="425278"/>
        </a:xfrm>
        <a:prstGeom prst="roundRect">
          <a:avLst/>
        </a:prstGeom>
        <a:no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cap="none" spc="0">
              <a:ln w="0"/>
              <a:solidFill>
                <a:schemeClr val="tx1"/>
              </a:solidFill>
              <a:effectLst>
                <a:outerShdw blurRad="38100" dist="19050" dir="2700000" algn="tl" rotWithShape="0">
                  <a:schemeClr val="dk1">
                    <a:alpha val="40000"/>
                  </a:schemeClr>
                </a:outerShdw>
              </a:effectLst>
            </a:rPr>
            <a:t>   </a:t>
          </a:r>
          <a:r>
            <a:rPr lang="en-IN" sz="2000" b="1" cap="none" spc="0">
              <a:ln w="0"/>
              <a:solidFill>
                <a:schemeClr val="bg1"/>
              </a:solidFill>
              <a:effectLst>
                <a:outerShdw blurRad="38100" dist="19050" dir="2700000" algn="tl" rotWithShape="0">
                  <a:schemeClr val="dk1">
                    <a:alpha val="40000"/>
                  </a:schemeClr>
                </a:outerShdw>
              </a:effectLst>
            </a:rPr>
            <a:t>PRODUCTS</a:t>
          </a:r>
        </a:p>
      </xdr:txBody>
    </xdr:sp>
    <xdr:clientData/>
  </xdr:twoCellAnchor>
  <xdr:twoCellAnchor>
    <xdr:from>
      <xdr:col>0</xdr:col>
      <xdr:colOff>142199</xdr:colOff>
      <xdr:row>16</xdr:row>
      <xdr:rowOff>167841</xdr:rowOff>
    </xdr:from>
    <xdr:to>
      <xdr:col>2</xdr:col>
      <xdr:colOff>598096</xdr:colOff>
      <xdr:row>19</xdr:row>
      <xdr:rowOff>52895</xdr:rowOff>
    </xdr:to>
    <xdr:sp macro="" textlink="">
      <xdr:nvSpPr>
        <xdr:cNvPr id="22" name="Rectangle: Rounded Corners 21">
          <a:hlinkClick xmlns:r="http://schemas.openxmlformats.org/officeDocument/2006/relationships" r:id="rId4"/>
          <a:extLst>
            <a:ext uri="{FF2B5EF4-FFF2-40B4-BE49-F238E27FC236}">
              <a16:creationId xmlns:a16="http://schemas.microsoft.com/office/drawing/2014/main" id="{B1D3947F-290D-494D-A448-5AFD8FDABEBB}"/>
            </a:ext>
          </a:extLst>
        </xdr:cNvPr>
        <xdr:cNvSpPr/>
      </xdr:nvSpPr>
      <xdr:spPr>
        <a:xfrm>
          <a:off x="142199" y="3049035"/>
          <a:ext cx="1669031" cy="425278"/>
        </a:xfrm>
        <a:prstGeom prst="roundRect">
          <a:avLst/>
        </a:prstGeom>
        <a:no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cap="none" spc="0">
              <a:ln w="0"/>
              <a:solidFill>
                <a:schemeClr val="bg1"/>
              </a:solidFill>
              <a:effectLst>
                <a:outerShdw blurRad="38100" dist="19050" dir="2700000" algn="tl" rotWithShape="0">
                  <a:schemeClr val="dk1">
                    <a:alpha val="40000"/>
                  </a:schemeClr>
                </a:outerShdw>
              </a:effectLst>
            </a:rPr>
            <a:t> SALES MANS</a:t>
          </a:r>
          <a:endParaRPr lang="en-IN" sz="20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4</xdr:col>
      <xdr:colOff>350428</xdr:colOff>
      <xdr:row>14</xdr:row>
      <xdr:rowOff>171204</xdr:rowOff>
    </xdr:from>
    <xdr:to>
      <xdr:col>7</xdr:col>
      <xdr:colOff>228313</xdr:colOff>
      <xdr:row>16</xdr:row>
      <xdr:rowOff>179345</xdr:rowOff>
    </xdr:to>
    <xdr:sp macro="" textlink="">
      <xdr:nvSpPr>
        <xdr:cNvPr id="25" name="Rectangle 24">
          <a:extLst>
            <a:ext uri="{FF2B5EF4-FFF2-40B4-BE49-F238E27FC236}">
              <a16:creationId xmlns:a16="http://schemas.microsoft.com/office/drawing/2014/main" id="{4ED24F9C-91C3-4F5A-98BA-58DC39780C05}"/>
            </a:ext>
          </a:extLst>
        </xdr:cNvPr>
        <xdr:cNvSpPr/>
      </xdr:nvSpPr>
      <xdr:spPr>
        <a:xfrm>
          <a:off x="2776697" y="2692249"/>
          <a:ext cx="1697586" cy="36829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600" b="1">
            <a:solidFill>
              <a:srgbClr val="7030A0"/>
            </a:solidFill>
          </a:endParaRPr>
        </a:p>
      </xdr:txBody>
    </xdr:sp>
    <xdr:clientData/>
  </xdr:twoCellAnchor>
  <xdr:twoCellAnchor editAs="oneCell">
    <xdr:from>
      <xdr:col>8</xdr:col>
      <xdr:colOff>597091</xdr:colOff>
      <xdr:row>14</xdr:row>
      <xdr:rowOff>151642</xdr:rowOff>
    </xdr:from>
    <xdr:to>
      <xdr:col>9</xdr:col>
      <xdr:colOff>521270</xdr:colOff>
      <xdr:row>17</xdr:row>
      <xdr:rowOff>142164</xdr:rowOff>
    </xdr:to>
    <xdr:pic>
      <xdr:nvPicPr>
        <xdr:cNvPr id="28" name="Graphic 27" descr="Business Growth with solid fill">
          <a:extLst>
            <a:ext uri="{FF2B5EF4-FFF2-40B4-BE49-F238E27FC236}">
              <a16:creationId xmlns:a16="http://schemas.microsoft.com/office/drawing/2014/main" id="{55686589-70F8-E775-3899-6B978F0FC67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449628" y="2672687"/>
          <a:ext cx="530746" cy="530746"/>
        </a:xfrm>
        <a:prstGeom prst="rect">
          <a:avLst/>
        </a:prstGeom>
      </xdr:spPr>
    </xdr:pic>
    <xdr:clientData/>
  </xdr:twoCellAnchor>
  <xdr:twoCellAnchor>
    <xdr:from>
      <xdr:col>12</xdr:col>
      <xdr:colOff>540104</xdr:colOff>
      <xdr:row>11</xdr:row>
      <xdr:rowOff>163707</xdr:rowOff>
    </xdr:from>
    <xdr:to>
      <xdr:col>16</xdr:col>
      <xdr:colOff>180074</xdr:colOff>
      <xdr:row>14</xdr:row>
      <xdr:rowOff>37910</xdr:rowOff>
    </xdr:to>
    <xdr:sp macro="" textlink="">
      <xdr:nvSpPr>
        <xdr:cNvPr id="37" name="Rectangle: Rounded Corners 36">
          <a:extLst>
            <a:ext uri="{FF2B5EF4-FFF2-40B4-BE49-F238E27FC236}">
              <a16:creationId xmlns:a16="http://schemas.microsoft.com/office/drawing/2014/main" id="{66C8FA18-11ED-870C-9E1D-43730C4056AD}"/>
            </a:ext>
          </a:extLst>
        </xdr:cNvPr>
        <xdr:cNvSpPr/>
      </xdr:nvSpPr>
      <xdr:spPr>
        <a:xfrm>
          <a:off x="7818910" y="2144528"/>
          <a:ext cx="2066239" cy="414427"/>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tx1"/>
              </a:solidFill>
            </a:rPr>
            <a:t>Sales</a:t>
          </a:r>
          <a:r>
            <a:rPr lang="en-IN" sz="2000" b="1" baseline="0">
              <a:solidFill>
                <a:schemeClr val="tx1"/>
              </a:solidFill>
            </a:rPr>
            <a:t> by Months</a:t>
          </a:r>
          <a:endParaRPr lang="en-IN" sz="2000" b="1">
            <a:solidFill>
              <a:schemeClr val="tx1"/>
            </a:solidFill>
          </a:endParaRPr>
        </a:p>
      </xdr:txBody>
    </xdr:sp>
    <xdr:clientData/>
  </xdr:twoCellAnchor>
  <xdr:twoCellAnchor>
    <xdr:from>
      <xdr:col>12</xdr:col>
      <xdr:colOff>543169</xdr:colOff>
      <xdr:row>23</xdr:row>
      <xdr:rowOff>0</xdr:rowOff>
    </xdr:from>
    <xdr:to>
      <xdr:col>22</xdr:col>
      <xdr:colOff>64420</xdr:colOff>
      <xdr:row>31</xdr:row>
      <xdr:rowOff>110435</xdr:rowOff>
    </xdr:to>
    <xdr:graphicFrame macro="">
      <xdr:nvGraphicFramePr>
        <xdr:cNvPr id="42" name="Chart 41">
          <a:extLst>
            <a:ext uri="{FF2B5EF4-FFF2-40B4-BE49-F238E27FC236}">
              <a16:creationId xmlns:a16="http://schemas.microsoft.com/office/drawing/2014/main" id="{1C83BFF2-30AB-45CD-81F5-1CAD4D768D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463911</xdr:colOff>
      <xdr:row>18</xdr:row>
      <xdr:rowOff>46072</xdr:rowOff>
    </xdr:from>
    <xdr:to>
      <xdr:col>7</xdr:col>
      <xdr:colOff>227820</xdr:colOff>
      <xdr:row>21</xdr:row>
      <xdr:rowOff>37931</xdr:rowOff>
    </xdr:to>
    <xdr:sp macro="" textlink="">
      <xdr:nvSpPr>
        <xdr:cNvPr id="34" name="Rectangle: Rounded Corners 33">
          <a:extLst>
            <a:ext uri="{FF2B5EF4-FFF2-40B4-BE49-F238E27FC236}">
              <a16:creationId xmlns:a16="http://schemas.microsoft.com/office/drawing/2014/main" id="{9711DC4F-954B-87F1-3295-F5C00A721D11}"/>
            </a:ext>
          </a:extLst>
        </xdr:cNvPr>
        <xdr:cNvSpPr/>
      </xdr:nvSpPr>
      <xdr:spPr>
        <a:xfrm>
          <a:off x="2295642" y="3343187"/>
          <a:ext cx="2206216" cy="541379"/>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tx1"/>
              </a:solidFill>
            </a:rPr>
            <a:t>Sales</a:t>
          </a:r>
          <a:r>
            <a:rPr lang="en-IN" sz="2000" b="1" baseline="0">
              <a:solidFill>
                <a:schemeClr val="tx1"/>
              </a:solidFill>
            </a:rPr>
            <a:t> of Products</a:t>
          </a:r>
          <a:endParaRPr lang="en-IN" sz="2000" b="1">
            <a:solidFill>
              <a:schemeClr val="tx1"/>
            </a:solidFill>
          </a:endParaRPr>
        </a:p>
      </xdr:txBody>
    </xdr:sp>
    <xdr:clientData/>
  </xdr:twoCellAnchor>
  <xdr:twoCellAnchor>
    <xdr:from>
      <xdr:col>12</xdr:col>
      <xdr:colOff>568534</xdr:colOff>
      <xdr:row>21</xdr:row>
      <xdr:rowOff>78411</xdr:rowOff>
    </xdr:from>
    <xdr:to>
      <xdr:col>16</xdr:col>
      <xdr:colOff>18954</xdr:colOff>
      <xdr:row>23</xdr:row>
      <xdr:rowOff>94777</xdr:rowOff>
    </xdr:to>
    <xdr:sp macro="" textlink="">
      <xdr:nvSpPr>
        <xdr:cNvPr id="38" name="Rectangle: Rounded Corners 37">
          <a:extLst>
            <a:ext uri="{FF2B5EF4-FFF2-40B4-BE49-F238E27FC236}">
              <a16:creationId xmlns:a16="http://schemas.microsoft.com/office/drawing/2014/main" id="{BA9A4147-3AF5-79D9-A698-9BDC3E36CB39}"/>
            </a:ext>
          </a:extLst>
        </xdr:cNvPr>
        <xdr:cNvSpPr/>
      </xdr:nvSpPr>
      <xdr:spPr>
        <a:xfrm>
          <a:off x="7847340" y="3859978"/>
          <a:ext cx="1876689" cy="376515"/>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tx1"/>
              </a:solidFill>
            </a:rPr>
            <a:t>Sales</a:t>
          </a:r>
          <a:r>
            <a:rPr lang="en-IN" sz="2000" b="1" baseline="0">
              <a:solidFill>
                <a:schemeClr val="tx1"/>
              </a:solidFill>
            </a:rPr>
            <a:t> by Places</a:t>
          </a:r>
          <a:endParaRPr lang="en-IN" sz="2000" b="1">
            <a:solidFill>
              <a:schemeClr val="tx1"/>
            </a:solidFill>
          </a:endParaRPr>
        </a:p>
      </xdr:txBody>
    </xdr:sp>
    <xdr:clientData/>
  </xdr:twoCellAnchor>
  <xdr:twoCellAnchor>
    <xdr:from>
      <xdr:col>4</xdr:col>
      <xdr:colOff>366710</xdr:colOff>
      <xdr:row>17</xdr:row>
      <xdr:rowOff>163064</xdr:rowOff>
    </xdr:from>
    <xdr:to>
      <xdr:col>7</xdr:col>
      <xdr:colOff>244595</xdr:colOff>
      <xdr:row>19</xdr:row>
      <xdr:rowOff>171205</xdr:rowOff>
    </xdr:to>
    <xdr:sp macro="" textlink="">
      <xdr:nvSpPr>
        <xdr:cNvPr id="19" name="Rectangle 18">
          <a:extLst>
            <a:ext uri="{FF2B5EF4-FFF2-40B4-BE49-F238E27FC236}">
              <a16:creationId xmlns:a16="http://schemas.microsoft.com/office/drawing/2014/main" id="{57BC5920-A273-0174-6783-2633C029C2DC}"/>
            </a:ext>
          </a:extLst>
        </xdr:cNvPr>
        <xdr:cNvSpPr/>
      </xdr:nvSpPr>
      <xdr:spPr>
        <a:xfrm>
          <a:off x="2809018" y="3346205"/>
          <a:ext cx="1709615" cy="38262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600" b="1">
            <a:solidFill>
              <a:srgbClr val="7030A0"/>
            </a:solidFill>
          </a:endParaRPr>
        </a:p>
      </xdr:txBody>
    </xdr:sp>
    <xdr:clientData/>
  </xdr:twoCellAnchor>
  <xdr:twoCellAnchor>
    <xdr:from>
      <xdr:col>4</xdr:col>
      <xdr:colOff>401741</xdr:colOff>
      <xdr:row>17</xdr:row>
      <xdr:rowOff>55010</xdr:rowOff>
    </xdr:from>
    <xdr:to>
      <xdr:col>7</xdr:col>
      <xdr:colOff>279626</xdr:colOff>
      <xdr:row>19</xdr:row>
      <xdr:rowOff>63151</xdr:rowOff>
    </xdr:to>
    <xdr:sp macro="" textlink="">
      <xdr:nvSpPr>
        <xdr:cNvPr id="27" name="Rectangle 26">
          <a:extLst>
            <a:ext uri="{FF2B5EF4-FFF2-40B4-BE49-F238E27FC236}">
              <a16:creationId xmlns:a16="http://schemas.microsoft.com/office/drawing/2014/main" id="{000746B3-E846-CEDA-6ED9-889B1BFD52D6}"/>
            </a:ext>
          </a:extLst>
        </xdr:cNvPr>
        <xdr:cNvSpPr/>
      </xdr:nvSpPr>
      <xdr:spPr>
        <a:xfrm>
          <a:off x="2839115" y="3217182"/>
          <a:ext cx="1705915" cy="38016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600" b="1">
            <a:solidFill>
              <a:srgbClr val="7030A0"/>
            </a:solidFill>
          </a:endParaRPr>
        </a:p>
      </xdr:txBody>
    </xdr:sp>
    <xdr:clientData/>
  </xdr:twoCellAnchor>
  <xdr:twoCellAnchor>
    <xdr:from>
      <xdr:col>4</xdr:col>
      <xdr:colOff>465882</xdr:colOff>
      <xdr:row>14</xdr:row>
      <xdr:rowOff>151222</xdr:rowOff>
    </xdr:from>
    <xdr:to>
      <xdr:col>7</xdr:col>
      <xdr:colOff>343767</xdr:colOff>
      <xdr:row>16</xdr:row>
      <xdr:rowOff>159362</xdr:rowOff>
    </xdr:to>
    <xdr:sp macro="" textlink="">
      <xdr:nvSpPr>
        <xdr:cNvPr id="49" name="Rectangle 48">
          <a:extLst>
            <a:ext uri="{FF2B5EF4-FFF2-40B4-BE49-F238E27FC236}">
              <a16:creationId xmlns:a16="http://schemas.microsoft.com/office/drawing/2014/main" id="{8EF011FF-6B0F-35E7-8AFC-75AD07453186}"/>
            </a:ext>
          </a:extLst>
        </xdr:cNvPr>
        <xdr:cNvSpPr/>
      </xdr:nvSpPr>
      <xdr:spPr>
        <a:xfrm>
          <a:off x="2903256" y="2755363"/>
          <a:ext cx="1705915" cy="38016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600" b="1">
            <a:solidFill>
              <a:srgbClr val="7030A0"/>
            </a:solidFill>
          </a:endParaRPr>
        </a:p>
      </xdr:txBody>
    </xdr:sp>
    <xdr:clientData/>
  </xdr:twoCellAnchor>
  <xdr:twoCellAnchor>
    <xdr:from>
      <xdr:col>4</xdr:col>
      <xdr:colOff>472296</xdr:colOff>
      <xdr:row>16</xdr:row>
      <xdr:rowOff>157636</xdr:rowOff>
    </xdr:from>
    <xdr:to>
      <xdr:col>7</xdr:col>
      <xdr:colOff>350181</xdr:colOff>
      <xdr:row>18</xdr:row>
      <xdr:rowOff>165777</xdr:rowOff>
    </xdr:to>
    <xdr:sp macro="" textlink="">
      <xdr:nvSpPr>
        <xdr:cNvPr id="52" name="Rectangle 51">
          <a:extLst>
            <a:ext uri="{FF2B5EF4-FFF2-40B4-BE49-F238E27FC236}">
              <a16:creationId xmlns:a16="http://schemas.microsoft.com/office/drawing/2014/main" id="{E24E7C1E-7FA3-9F54-DCFA-54A5011B5403}"/>
            </a:ext>
          </a:extLst>
        </xdr:cNvPr>
        <xdr:cNvSpPr/>
      </xdr:nvSpPr>
      <xdr:spPr>
        <a:xfrm>
          <a:off x="2909670" y="3133798"/>
          <a:ext cx="1705915" cy="38016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600" b="1">
            <a:solidFill>
              <a:srgbClr val="7030A0"/>
            </a:solidFill>
          </a:endParaRPr>
        </a:p>
      </xdr:txBody>
    </xdr:sp>
    <xdr:clientData/>
  </xdr:twoCellAnchor>
  <xdr:twoCellAnchor>
    <xdr:from>
      <xdr:col>4</xdr:col>
      <xdr:colOff>491538</xdr:colOff>
      <xdr:row>17</xdr:row>
      <xdr:rowOff>48595</xdr:rowOff>
    </xdr:from>
    <xdr:to>
      <xdr:col>7</xdr:col>
      <xdr:colOff>369423</xdr:colOff>
      <xdr:row>19</xdr:row>
      <xdr:rowOff>56736</xdr:rowOff>
    </xdr:to>
    <xdr:sp macro="" textlink="">
      <xdr:nvSpPr>
        <xdr:cNvPr id="55" name="Rectangle 54">
          <a:extLst>
            <a:ext uri="{FF2B5EF4-FFF2-40B4-BE49-F238E27FC236}">
              <a16:creationId xmlns:a16="http://schemas.microsoft.com/office/drawing/2014/main" id="{94E76161-4F21-DEAC-EEF6-031BDE0B60F0}"/>
            </a:ext>
          </a:extLst>
        </xdr:cNvPr>
        <xdr:cNvSpPr/>
      </xdr:nvSpPr>
      <xdr:spPr>
        <a:xfrm>
          <a:off x="2928912" y="3210767"/>
          <a:ext cx="1705915" cy="38016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600" b="1">
            <a:solidFill>
              <a:srgbClr val="7030A0"/>
            </a:solidFill>
          </a:endParaRPr>
        </a:p>
      </xdr:txBody>
    </xdr:sp>
    <xdr:clientData/>
  </xdr:twoCellAnchor>
  <xdr:twoCellAnchor>
    <xdr:from>
      <xdr:col>3</xdr:col>
      <xdr:colOff>311510</xdr:colOff>
      <xdr:row>14</xdr:row>
      <xdr:rowOff>131791</xdr:rowOff>
    </xdr:from>
    <xdr:to>
      <xdr:col>7</xdr:col>
      <xdr:colOff>604586</xdr:colOff>
      <xdr:row>17</xdr:row>
      <xdr:rowOff>147186</xdr:rowOff>
    </xdr:to>
    <xdr:sp macro="" textlink="">
      <xdr:nvSpPr>
        <xdr:cNvPr id="57" name="Rectangle: Rounded Corners 56">
          <a:extLst>
            <a:ext uri="{FF2B5EF4-FFF2-40B4-BE49-F238E27FC236}">
              <a16:creationId xmlns:a16="http://schemas.microsoft.com/office/drawing/2014/main" id="{C47FFFDF-3BF3-4385-ADD6-EF584FDEE3A8}"/>
            </a:ext>
          </a:extLst>
        </xdr:cNvPr>
        <xdr:cNvSpPr/>
      </xdr:nvSpPr>
      <xdr:spPr>
        <a:xfrm>
          <a:off x="2144623" y="2647829"/>
          <a:ext cx="2737227" cy="554546"/>
        </a:xfrm>
        <a:prstGeom prst="roundRect">
          <a:avLst/>
        </a:prstGeom>
        <a:solidFill>
          <a:srgbClr val="7030A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144126</xdr:colOff>
      <xdr:row>14</xdr:row>
      <xdr:rowOff>138187</xdr:rowOff>
    </xdr:from>
    <xdr:to>
      <xdr:col>7</xdr:col>
      <xdr:colOff>566998</xdr:colOff>
      <xdr:row>17</xdr:row>
      <xdr:rowOff>130046</xdr:rowOff>
    </xdr:to>
    <xdr:sp macro="" textlink="">
      <xdr:nvSpPr>
        <xdr:cNvPr id="58" name="Rectangle: Rounded Corners 57">
          <a:extLst>
            <a:ext uri="{FF2B5EF4-FFF2-40B4-BE49-F238E27FC236}">
              <a16:creationId xmlns:a16="http://schemas.microsoft.com/office/drawing/2014/main" id="{30661463-9FFF-4BD1-85CA-FFF8F9815E1C}"/>
            </a:ext>
          </a:extLst>
        </xdr:cNvPr>
        <xdr:cNvSpPr/>
      </xdr:nvSpPr>
      <xdr:spPr>
        <a:xfrm>
          <a:off x="2596540" y="2692785"/>
          <a:ext cx="2262182" cy="539272"/>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rgbClr val="7030A0"/>
              </a:solidFill>
            </a:rPr>
            <a:t>           Total</a:t>
          </a:r>
          <a:r>
            <a:rPr lang="en-IN" sz="1600" b="1" baseline="0">
              <a:solidFill>
                <a:srgbClr val="7030A0"/>
              </a:solidFill>
            </a:rPr>
            <a:t> amount</a:t>
          </a:r>
          <a:endParaRPr lang="en-IN" sz="1600" b="1">
            <a:solidFill>
              <a:srgbClr val="7030A0"/>
            </a:solidFill>
          </a:endParaRPr>
        </a:p>
      </xdr:txBody>
    </xdr:sp>
    <xdr:clientData/>
  </xdr:twoCellAnchor>
  <xdr:twoCellAnchor editAs="oneCell">
    <xdr:from>
      <xdr:col>4</xdr:col>
      <xdr:colOff>155756</xdr:colOff>
      <xdr:row>14</xdr:row>
      <xdr:rowOff>131792</xdr:rowOff>
    </xdr:from>
    <xdr:to>
      <xdr:col>5</xdr:col>
      <xdr:colOff>83870</xdr:colOff>
      <xdr:row>17</xdr:row>
      <xdr:rowOff>131793</xdr:rowOff>
    </xdr:to>
    <xdr:pic>
      <xdr:nvPicPr>
        <xdr:cNvPr id="60" name="Graphic 59" descr="Coins with solid fill">
          <a:extLst>
            <a:ext uri="{FF2B5EF4-FFF2-40B4-BE49-F238E27FC236}">
              <a16:creationId xmlns:a16="http://schemas.microsoft.com/office/drawing/2014/main" id="{B0B844F5-8B6D-55E2-F6F1-AC541DEE0FFC}"/>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599907" y="2647830"/>
          <a:ext cx="539152" cy="539152"/>
        </a:xfrm>
        <a:prstGeom prst="rect">
          <a:avLst/>
        </a:prstGeom>
      </xdr:spPr>
    </xdr:pic>
    <xdr:clientData/>
  </xdr:twoCellAnchor>
  <xdr:twoCellAnchor>
    <xdr:from>
      <xdr:col>9</xdr:col>
      <xdr:colOff>320390</xdr:colOff>
      <xdr:row>14</xdr:row>
      <xdr:rowOff>152248</xdr:rowOff>
    </xdr:from>
    <xdr:to>
      <xdr:col>12</xdr:col>
      <xdr:colOff>198274</xdr:colOff>
      <xdr:row>16</xdr:row>
      <xdr:rowOff>160389</xdr:rowOff>
    </xdr:to>
    <xdr:sp macro="" textlink="">
      <xdr:nvSpPr>
        <xdr:cNvPr id="64" name="Rectangle 63">
          <a:extLst>
            <a:ext uri="{FF2B5EF4-FFF2-40B4-BE49-F238E27FC236}">
              <a16:creationId xmlns:a16="http://schemas.microsoft.com/office/drawing/2014/main" id="{31A7046D-7E0C-0D51-4F9E-A9F44CDD7031}"/>
            </a:ext>
          </a:extLst>
        </xdr:cNvPr>
        <xdr:cNvSpPr/>
      </xdr:nvSpPr>
      <xdr:spPr>
        <a:xfrm>
          <a:off x="5841661" y="2713773"/>
          <a:ext cx="1718308" cy="37407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rgbClr val="FFC000"/>
              </a:solidFill>
            </a:rPr>
            <a:t>    Total</a:t>
          </a:r>
          <a:r>
            <a:rPr lang="en-IN" sz="1600" b="1" baseline="0">
              <a:solidFill>
                <a:srgbClr val="FFC000"/>
              </a:solidFill>
            </a:rPr>
            <a:t> Sales</a:t>
          </a:r>
          <a:endParaRPr lang="en-IN" sz="1600" b="1">
            <a:solidFill>
              <a:srgbClr val="FFC000"/>
            </a:solidFill>
          </a:endParaRPr>
        </a:p>
      </xdr:txBody>
    </xdr:sp>
    <xdr:clientData/>
  </xdr:twoCellAnchor>
  <xdr:twoCellAnchor>
    <xdr:from>
      <xdr:col>5</xdr:col>
      <xdr:colOff>112793</xdr:colOff>
      <xdr:row>16</xdr:row>
      <xdr:rowOff>54556</xdr:rowOff>
    </xdr:from>
    <xdr:to>
      <xdr:col>7</xdr:col>
      <xdr:colOff>601255</xdr:colOff>
      <xdr:row>18</xdr:row>
      <xdr:rowOff>62697</xdr:rowOff>
    </xdr:to>
    <xdr:sp macro="" textlink="'DASH BOARD'!$C$27">
      <xdr:nvSpPr>
        <xdr:cNvPr id="68" name="Rectangle 67">
          <a:extLst>
            <a:ext uri="{FF2B5EF4-FFF2-40B4-BE49-F238E27FC236}">
              <a16:creationId xmlns:a16="http://schemas.microsoft.com/office/drawing/2014/main" id="{B1A76B34-422B-269B-97C3-FFE24E09EF0F}"/>
            </a:ext>
          </a:extLst>
        </xdr:cNvPr>
        <xdr:cNvSpPr/>
      </xdr:nvSpPr>
      <xdr:spPr>
        <a:xfrm>
          <a:off x="3165678" y="2985325"/>
          <a:ext cx="1709615" cy="37448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C9ED80F7-E4AB-4B55-96D6-D04D37054DD0}" type="TxLink">
            <a:rPr lang="en-US" sz="1100" b="0" i="0" u="none" strike="noStrike">
              <a:solidFill>
                <a:srgbClr val="000000"/>
              </a:solidFill>
              <a:latin typeface="Calibri"/>
              <a:ea typeface="Calibri"/>
              <a:cs typeface="Calibri"/>
            </a:rPr>
            <a:pPr algn="l"/>
            <a:t> </a:t>
          </a:fld>
          <a:endParaRPr lang="en-US" sz="1600" b="1"/>
        </a:p>
      </xdr:txBody>
    </xdr:sp>
    <xdr:clientData/>
  </xdr:twoCellAnchor>
  <xdr:twoCellAnchor>
    <xdr:from>
      <xdr:col>3</xdr:col>
      <xdr:colOff>476250</xdr:colOff>
      <xdr:row>20</xdr:row>
      <xdr:rowOff>24423</xdr:rowOff>
    </xdr:from>
    <xdr:to>
      <xdr:col>12</xdr:col>
      <xdr:colOff>85711</xdr:colOff>
      <xdr:row>31</xdr:row>
      <xdr:rowOff>158752</xdr:rowOff>
    </xdr:to>
    <xdr:graphicFrame macro="">
      <xdr:nvGraphicFramePr>
        <xdr:cNvPr id="69" name="Chart 68">
          <a:extLst>
            <a:ext uri="{FF2B5EF4-FFF2-40B4-BE49-F238E27FC236}">
              <a16:creationId xmlns:a16="http://schemas.microsoft.com/office/drawing/2014/main" id="{0CEDEDE5-9DCD-4FEF-B813-382FEE02F1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13</xdr:col>
      <xdr:colOff>452034</xdr:colOff>
      <xdr:row>13</xdr:row>
      <xdr:rowOff>150678</xdr:rowOff>
    </xdr:from>
    <xdr:to>
      <xdr:col>22</xdr:col>
      <xdr:colOff>128607</xdr:colOff>
      <xdr:row>20</xdr:row>
      <xdr:rowOff>172203</xdr:rowOff>
    </xdr:to>
    <xdr:graphicFrame macro="">
      <xdr:nvGraphicFramePr>
        <xdr:cNvPr id="3" name="Chart 2">
          <a:extLst>
            <a:ext uri="{FF2B5EF4-FFF2-40B4-BE49-F238E27FC236}">
              <a16:creationId xmlns:a16="http://schemas.microsoft.com/office/drawing/2014/main" id="{B1AD5608-0BEA-4B3B-A907-6EE388BD80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349585</xdr:colOff>
      <xdr:row>14</xdr:row>
      <xdr:rowOff>137651</xdr:rowOff>
    </xdr:from>
    <xdr:to>
      <xdr:col>12</xdr:col>
      <xdr:colOff>227469</xdr:colOff>
      <xdr:row>16</xdr:row>
      <xdr:rowOff>145792</xdr:rowOff>
    </xdr:to>
    <xdr:sp macro="" textlink="">
      <xdr:nvSpPr>
        <xdr:cNvPr id="10" name="Rectangle 9">
          <a:extLst>
            <a:ext uri="{FF2B5EF4-FFF2-40B4-BE49-F238E27FC236}">
              <a16:creationId xmlns:a16="http://schemas.microsoft.com/office/drawing/2014/main" id="{9DD11CF3-867D-6376-78F7-D7F365C1B77F}"/>
            </a:ext>
          </a:extLst>
        </xdr:cNvPr>
        <xdr:cNvSpPr/>
      </xdr:nvSpPr>
      <xdr:spPr>
        <a:xfrm>
          <a:off x="5867516" y="2692249"/>
          <a:ext cx="1717194" cy="37308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rgbClr val="FFC000"/>
              </a:solidFill>
            </a:rPr>
            <a:t>    </a:t>
          </a:r>
        </a:p>
      </xdr:txBody>
    </xdr:sp>
    <xdr:clientData/>
  </xdr:twoCellAnchor>
  <xdr:twoCellAnchor>
    <xdr:from>
      <xdr:col>10</xdr:col>
      <xdr:colOff>130621</xdr:colOff>
      <xdr:row>16</xdr:row>
      <xdr:rowOff>71961</xdr:rowOff>
    </xdr:from>
    <xdr:to>
      <xdr:col>13</xdr:col>
      <xdr:colOff>8504</xdr:colOff>
      <xdr:row>18</xdr:row>
      <xdr:rowOff>80101</xdr:rowOff>
    </xdr:to>
    <xdr:sp macro="" textlink="'PIVOT TABLE-3'!C33">
      <xdr:nvSpPr>
        <xdr:cNvPr id="41" name="Rectangle 40">
          <a:extLst>
            <a:ext uri="{FF2B5EF4-FFF2-40B4-BE49-F238E27FC236}">
              <a16:creationId xmlns:a16="http://schemas.microsoft.com/office/drawing/2014/main" id="{59CFF0A6-6CDA-B31C-2A1F-EBAC9C798BD2}"/>
            </a:ext>
          </a:extLst>
        </xdr:cNvPr>
        <xdr:cNvSpPr/>
      </xdr:nvSpPr>
      <xdr:spPr>
        <a:xfrm>
          <a:off x="6261655" y="2991501"/>
          <a:ext cx="1717194" cy="37308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68A20E72-D38E-426C-A416-F84B649B1643}" type="TxLink">
            <a:rPr lang="en-US" sz="1200" b="1" i="0" u="none" strike="noStrike">
              <a:solidFill>
                <a:srgbClr val="000000"/>
              </a:solidFill>
              <a:latin typeface="Calibri"/>
              <a:ea typeface="Calibri"/>
              <a:cs typeface="Calibri"/>
            </a:rPr>
            <a:pPr algn="l"/>
            <a:t>278</a:t>
          </a:fld>
          <a:endParaRPr lang="en-US" sz="1200" b="1"/>
        </a:p>
      </xdr:txBody>
    </xdr:sp>
    <xdr:clientData/>
  </xdr:twoCellAnchor>
  <xdr:twoCellAnchor>
    <xdr:from>
      <xdr:col>4</xdr:col>
      <xdr:colOff>524758</xdr:colOff>
      <xdr:row>16</xdr:row>
      <xdr:rowOff>35467</xdr:rowOff>
    </xdr:from>
    <xdr:to>
      <xdr:col>7</xdr:col>
      <xdr:colOff>402642</xdr:colOff>
      <xdr:row>18</xdr:row>
      <xdr:rowOff>43607</xdr:rowOff>
    </xdr:to>
    <xdr:sp macro="" textlink="'DASH BOARD'!$C$27">
      <xdr:nvSpPr>
        <xdr:cNvPr id="43" name="Rectangle 42">
          <a:extLst>
            <a:ext uri="{FF2B5EF4-FFF2-40B4-BE49-F238E27FC236}">
              <a16:creationId xmlns:a16="http://schemas.microsoft.com/office/drawing/2014/main" id="{506B1388-A76D-E1A7-B7AA-01F36E35DD2E}"/>
            </a:ext>
          </a:extLst>
        </xdr:cNvPr>
        <xdr:cNvSpPr/>
      </xdr:nvSpPr>
      <xdr:spPr>
        <a:xfrm>
          <a:off x="2977172" y="2955007"/>
          <a:ext cx="1717194" cy="37308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5FF5957F-0A03-47F6-9538-68C14458AEC1}" type="TxLink">
            <a:rPr lang="en-US" sz="1100" b="0" i="0" u="none" strike="noStrike">
              <a:solidFill>
                <a:srgbClr val="000000"/>
              </a:solidFill>
              <a:latin typeface="Calibri"/>
              <a:ea typeface="Calibri"/>
              <a:cs typeface="Calibri"/>
            </a:rPr>
            <a:pPr algn="l"/>
            <a:t> </a:t>
          </a:fld>
          <a:endParaRPr lang="en-IN" sz="1600" b="1">
            <a:solidFill>
              <a:srgbClr val="FFC000"/>
            </a:solidFill>
          </a:endParaRPr>
        </a:p>
      </xdr:txBody>
    </xdr:sp>
    <xdr:clientData/>
  </xdr:twoCellAnchor>
  <xdr:twoCellAnchor>
    <xdr:from>
      <xdr:col>5</xdr:col>
      <xdr:colOff>152517</xdr:colOff>
      <xdr:row>16</xdr:row>
      <xdr:rowOff>50065</xdr:rowOff>
    </xdr:from>
    <xdr:to>
      <xdr:col>8</xdr:col>
      <xdr:colOff>30400</xdr:colOff>
      <xdr:row>18</xdr:row>
      <xdr:rowOff>58205</xdr:rowOff>
    </xdr:to>
    <xdr:sp macro="" textlink="'PIVOT TABLE-3'!C27">
      <xdr:nvSpPr>
        <xdr:cNvPr id="44" name="Rectangle 43">
          <a:extLst>
            <a:ext uri="{FF2B5EF4-FFF2-40B4-BE49-F238E27FC236}">
              <a16:creationId xmlns:a16="http://schemas.microsoft.com/office/drawing/2014/main" id="{B9E80117-78EB-4A33-17C7-26867C727A8B}"/>
            </a:ext>
          </a:extLst>
        </xdr:cNvPr>
        <xdr:cNvSpPr/>
      </xdr:nvSpPr>
      <xdr:spPr>
        <a:xfrm>
          <a:off x="3218034" y="2969605"/>
          <a:ext cx="1717194" cy="37308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97FA2140-4F28-4F55-82EA-B97B90DA3504}" type="TxLink">
            <a:rPr lang="en-US" sz="1200" b="1" i="0" u="none" strike="noStrike" baseline="0">
              <a:solidFill>
                <a:schemeClr val="tx1">
                  <a:lumMod val="95000"/>
                  <a:lumOff val="5000"/>
                </a:schemeClr>
              </a:solidFill>
              <a:latin typeface="Calibri"/>
              <a:ea typeface="Calibri"/>
              <a:cs typeface="Calibri"/>
            </a:rPr>
            <a:pPr algn="l"/>
            <a:t> 11,87,31,893 </a:t>
          </a:fld>
          <a:endParaRPr lang="en-IN" sz="1200" b="1">
            <a:solidFill>
              <a:schemeClr val="tx1">
                <a:lumMod val="95000"/>
                <a:lumOff val="5000"/>
              </a:schemeClr>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106986</xdr:colOff>
      <xdr:row>0</xdr:row>
      <xdr:rowOff>43873</xdr:rowOff>
    </xdr:from>
    <xdr:to>
      <xdr:col>22</xdr:col>
      <xdr:colOff>473747</xdr:colOff>
      <xdr:row>33</xdr:row>
      <xdr:rowOff>48106</xdr:rowOff>
    </xdr:to>
    <xdr:sp macro="" textlink="">
      <xdr:nvSpPr>
        <xdr:cNvPr id="2" name="Rectangle: Rounded Corners 1">
          <a:extLst>
            <a:ext uri="{FF2B5EF4-FFF2-40B4-BE49-F238E27FC236}">
              <a16:creationId xmlns:a16="http://schemas.microsoft.com/office/drawing/2014/main" id="{A4281DD4-0CEB-420C-853B-08AAB67B518F}"/>
            </a:ext>
          </a:extLst>
        </xdr:cNvPr>
        <xdr:cNvSpPr/>
      </xdr:nvSpPr>
      <xdr:spPr>
        <a:xfrm>
          <a:off x="106986" y="43873"/>
          <a:ext cx="13777961" cy="6081183"/>
        </a:xfrm>
        <a:prstGeom prst="roundRect">
          <a:avLst>
            <a:gd name="adj" fmla="val 503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98380</xdr:colOff>
      <xdr:row>0</xdr:row>
      <xdr:rowOff>80493</xdr:rowOff>
    </xdr:from>
    <xdr:to>
      <xdr:col>22</xdr:col>
      <xdr:colOff>407359</xdr:colOff>
      <xdr:row>33</xdr:row>
      <xdr:rowOff>11981</xdr:rowOff>
    </xdr:to>
    <xdr:sp macro="" textlink="">
      <xdr:nvSpPr>
        <xdr:cNvPr id="3" name="Rectangle: Rounded Corners 2">
          <a:extLst>
            <a:ext uri="{FF2B5EF4-FFF2-40B4-BE49-F238E27FC236}">
              <a16:creationId xmlns:a16="http://schemas.microsoft.com/office/drawing/2014/main" id="{030866A4-7B82-4C08-96F5-BC3151FA6100}"/>
            </a:ext>
          </a:extLst>
        </xdr:cNvPr>
        <xdr:cNvSpPr/>
      </xdr:nvSpPr>
      <xdr:spPr>
        <a:xfrm>
          <a:off x="1922887" y="80493"/>
          <a:ext cx="11864190" cy="6129446"/>
        </a:xfrm>
        <a:prstGeom prst="roundRect">
          <a:avLst>
            <a:gd name="adj" fmla="val 7540"/>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325641</xdr:colOff>
      <xdr:row>0</xdr:row>
      <xdr:rowOff>162820</xdr:rowOff>
    </xdr:from>
    <xdr:to>
      <xdr:col>12</xdr:col>
      <xdr:colOff>529167</xdr:colOff>
      <xdr:row>7</xdr:row>
      <xdr:rowOff>130257</xdr:rowOff>
    </xdr:to>
    <mc:AlternateContent xmlns:mc="http://schemas.openxmlformats.org/markup-compatibility/2006" xmlns:tsle="http://schemas.microsoft.com/office/drawing/2012/timeslicer">
      <mc:Choice Requires="tsle">
        <xdr:graphicFrame macro="">
          <xdr:nvGraphicFramePr>
            <xdr:cNvPr id="4" name="Date 2">
              <a:extLst>
                <a:ext uri="{FF2B5EF4-FFF2-40B4-BE49-F238E27FC236}">
                  <a16:creationId xmlns:a16="http://schemas.microsoft.com/office/drawing/2014/main" id="{4070DB42-524F-4E8F-8D31-5EEC1BCA43C4}"/>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2150148" y="162820"/>
              <a:ext cx="5677047" cy="128215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12</xdr:col>
      <xdr:colOff>586155</xdr:colOff>
      <xdr:row>0</xdr:row>
      <xdr:rowOff>146537</xdr:rowOff>
    </xdr:from>
    <xdr:to>
      <xdr:col>22</xdr:col>
      <xdr:colOff>187244</xdr:colOff>
      <xdr:row>7</xdr:row>
      <xdr:rowOff>146539</xdr:rowOff>
    </xdr:to>
    <mc:AlternateContent xmlns:mc="http://schemas.openxmlformats.org/markup-compatibility/2006" xmlns:a14="http://schemas.microsoft.com/office/drawing/2010/main">
      <mc:Choice Requires="a14">
        <xdr:graphicFrame macro="">
          <xdr:nvGraphicFramePr>
            <xdr:cNvPr id="5" name="Place 2">
              <a:extLst>
                <a:ext uri="{FF2B5EF4-FFF2-40B4-BE49-F238E27FC236}">
                  <a16:creationId xmlns:a16="http://schemas.microsoft.com/office/drawing/2014/main" id="{21889892-3FA1-4BD5-AA04-C188C3D96513}"/>
                </a:ext>
              </a:extLst>
            </xdr:cNvPr>
            <xdr:cNvGraphicFramePr/>
          </xdr:nvGraphicFramePr>
          <xdr:xfrm>
            <a:off x="0" y="0"/>
            <a:ext cx="0" cy="0"/>
          </xdr:xfrm>
          <a:graphic>
            <a:graphicData uri="http://schemas.microsoft.com/office/drawing/2010/slicer">
              <sle:slicer xmlns:sle="http://schemas.microsoft.com/office/drawing/2010/slicer" name="Place 2"/>
            </a:graphicData>
          </a:graphic>
        </xdr:graphicFrame>
      </mc:Choice>
      <mc:Fallback xmlns="">
        <xdr:sp macro="" textlink="">
          <xdr:nvSpPr>
            <xdr:cNvPr id="0" name=""/>
            <xdr:cNvSpPr>
              <a:spLocks noTextEdit="1"/>
            </xdr:cNvSpPr>
          </xdr:nvSpPr>
          <xdr:spPr>
            <a:xfrm>
              <a:off x="7884183" y="146537"/>
              <a:ext cx="5682779" cy="1314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293078</xdr:colOff>
      <xdr:row>8</xdr:row>
      <xdr:rowOff>888</xdr:rowOff>
    </xdr:from>
    <xdr:to>
      <xdr:col>22</xdr:col>
      <xdr:colOff>179103</xdr:colOff>
      <xdr:row>11</xdr:row>
      <xdr:rowOff>74157</xdr:rowOff>
    </xdr:to>
    <mc:AlternateContent xmlns:mc="http://schemas.openxmlformats.org/markup-compatibility/2006" xmlns:a14="http://schemas.microsoft.com/office/drawing/2010/main">
      <mc:Choice Requires="a14">
        <xdr:graphicFrame macro="">
          <xdr:nvGraphicFramePr>
            <xdr:cNvPr id="6" name="Products 2">
              <a:extLst>
                <a:ext uri="{FF2B5EF4-FFF2-40B4-BE49-F238E27FC236}">
                  <a16:creationId xmlns:a16="http://schemas.microsoft.com/office/drawing/2014/main" id="{7A8349C4-7413-4E06-989B-8C6C2ACAEB1B}"/>
                </a:ext>
              </a:extLst>
            </xdr:cNvPr>
            <xdr:cNvGraphicFramePr/>
          </xdr:nvGraphicFramePr>
          <xdr:xfrm>
            <a:off x="0" y="0"/>
            <a:ext cx="0" cy="0"/>
          </xdr:xfrm>
          <a:graphic>
            <a:graphicData uri="http://schemas.microsoft.com/office/drawing/2010/slicer">
              <sle:slicer xmlns:sle="http://schemas.microsoft.com/office/drawing/2010/slicer" name="Products 2"/>
            </a:graphicData>
          </a:graphic>
        </xdr:graphicFrame>
      </mc:Choice>
      <mc:Fallback xmlns="">
        <xdr:sp macro="" textlink="">
          <xdr:nvSpPr>
            <xdr:cNvPr id="0" name=""/>
            <xdr:cNvSpPr>
              <a:spLocks noTextEdit="1"/>
            </xdr:cNvSpPr>
          </xdr:nvSpPr>
          <xdr:spPr>
            <a:xfrm>
              <a:off x="2117585" y="1503423"/>
              <a:ext cx="11441236" cy="636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276796</xdr:colOff>
      <xdr:row>11</xdr:row>
      <xdr:rowOff>113975</xdr:rowOff>
    </xdr:from>
    <xdr:to>
      <xdr:col>4</xdr:col>
      <xdr:colOff>8141</xdr:colOff>
      <xdr:row>13</xdr:row>
      <xdr:rowOff>81409</xdr:rowOff>
    </xdr:to>
    <xdr:pic>
      <xdr:nvPicPr>
        <xdr:cNvPr id="7" name="Graphic 6" descr="Bar chart with solid fill">
          <a:extLst>
            <a:ext uri="{FF2B5EF4-FFF2-40B4-BE49-F238E27FC236}">
              <a16:creationId xmlns:a16="http://schemas.microsoft.com/office/drawing/2014/main" id="{C5256655-7745-4936-8F6D-A950ECFF505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05596" y="2139625"/>
          <a:ext cx="340945" cy="335734"/>
        </a:xfrm>
        <a:prstGeom prst="rect">
          <a:avLst/>
        </a:prstGeom>
      </xdr:spPr>
    </xdr:pic>
    <xdr:clientData/>
  </xdr:twoCellAnchor>
  <xdr:twoCellAnchor>
    <xdr:from>
      <xdr:col>3</xdr:col>
      <xdr:colOff>594295</xdr:colOff>
      <xdr:row>11</xdr:row>
      <xdr:rowOff>130256</xdr:rowOff>
    </xdr:from>
    <xdr:to>
      <xdr:col>6</xdr:col>
      <xdr:colOff>472179</xdr:colOff>
      <xdr:row>13</xdr:row>
      <xdr:rowOff>138397</xdr:rowOff>
    </xdr:to>
    <xdr:sp macro="" textlink="">
      <xdr:nvSpPr>
        <xdr:cNvPr id="8" name="Rectangle 7">
          <a:extLst>
            <a:ext uri="{FF2B5EF4-FFF2-40B4-BE49-F238E27FC236}">
              <a16:creationId xmlns:a16="http://schemas.microsoft.com/office/drawing/2014/main" id="{AAB8D49D-AEB1-4971-86A1-3C1F42D60A84}"/>
            </a:ext>
          </a:extLst>
        </xdr:cNvPr>
        <xdr:cNvSpPr/>
      </xdr:nvSpPr>
      <xdr:spPr>
        <a:xfrm>
          <a:off x="2423095" y="2155906"/>
          <a:ext cx="1706684" cy="37644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tx2">
                  <a:lumMod val="50000"/>
                </a:schemeClr>
              </a:solidFill>
            </a:rPr>
            <a:t>ANALYTICS</a:t>
          </a:r>
        </a:p>
      </xdr:txBody>
    </xdr:sp>
    <xdr:clientData/>
  </xdr:twoCellAnchor>
  <xdr:twoCellAnchor>
    <xdr:from>
      <xdr:col>3</xdr:col>
      <xdr:colOff>264584</xdr:colOff>
      <xdr:row>13</xdr:row>
      <xdr:rowOff>105834</xdr:rowOff>
    </xdr:from>
    <xdr:to>
      <xdr:col>12</xdr:col>
      <xdr:colOff>412623</xdr:colOff>
      <xdr:row>31</xdr:row>
      <xdr:rowOff>183171</xdr:rowOff>
    </xdr:to>
    <xdr:sp macro="" textlink="">
      <xdr:nvSpPr>
        <xdr:cNvPr id="11" name="Rectangle 10">
          <a:extLst>
            <a:ext uri="{FF2B5EF4-FFF2-40B4-BE49-F238E27FC236}">
              <a16:creationId xmlns:a16="http://schemas.microsoft.com/office/drawing/2014/main" id="{26F10E07-71D6-4BB5-90A8-1CEFB6BF8F06}"/>
            </a:ext>
          </a:extLst>
        </xdr:cNvPr>
        <xdr:cNvSpPr/>
      </xdr:nvSpPr>
      <xdr:spPr>
        <a:xfrm>
          <a:off x="2090209" y="2513542"/>
          <a:ext cx="5624914" cy="341108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12</xdr:col>
      <xdr:colOff>518352</xdr:colOff>
      <xdr:row>11</xdr:row>
      <xdr:rowOff>156905</xdr:rowOff>
    </xdr:from>
    <xdr:to>
      <xdr:col>22</xdr:col>
      <xdr:colOff>184570</xdr:colOff>
      <xdr:row>21</xdr:row>
      <xdr:rowOff>9477</xdr:rowOff>
    </xdr:to>
    <xdr:sp macro="" textlink="">
      <xdr:nvSpPr>
        <xdr:cNvPr id="12" name="Rectangle 11">
          <a:extLst>
            <a:ext uri="{FF2B5EF4-FFF2-40B4-BE49-F238E27FC236}">
              <a16:creationId xmlns:a16="http://schemas.microsoft.com/office/drawing/2014/main" id="{22D8C6E4-8A9D-4629-AC34-14790E5DA13E}"/>
            </a:ext>
          </a:extLst>
        </xdr:cNvPr>
        <xdr:cNvSpPr/>
      </xdr:nvSpPr>
      <xdr:spPr>
        <a:xfrm>
          <a:off x="7833552" y="2182555"/>
          <a:ext cx="5762218" cy="1694072"/>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543169</xdr:colOff>
      <xdr:row>21</xdr:row>
      <xdr:rowOff>63738</xdr:rowOff>
    </xdr:from>
    <xdr:to>
      <xdr:col>22</xdr:col>
      <xdr:colOff>209387</xdr:colOff>
      <xdr:row>32</xdr:row>
      <xdr:rowOff>56988</xdr:rowOff>
    </xdr:to>
    <xdr:sp macro="" textlink="">
      <xdr:nvSpPr>
        <xdr:cNvPr id="13" name="Rectangle 12">
          <a:extLst>
            <a:ext uri="{FF2B5EF4-FFF2-40B4-BE49-F238E27FC236}">
              <a16:creationId xmlns:a16="http://schemas.microsoft.com/office/drawing/2014/main" id="{92801E61-FCB4-4237-A728-497EAE58E7A9}"/>
            </a:ext>
          </a:extLst>
        </xdr:cNvPr>
        <xdr:cNvSpPr/>
      </xdr:nvSpPr>
      <xdr:spPr>
        <a:xfrm>
          <a:off x="7858369" y="3930888"/>
          <a:ext cx="5762218" cy="20189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151642</xdr:colOff>
      <xdr:row>9</xdr:row>
      <xdr:rowOff>163913</xdr:rowOff>
    </xdr:from>
    <xdr:to>
      <xdr:col>2</xdr:col>
      <xdr:colOff>591949</xdr:colOff>
      <xdr:row>12</xdr:row>
      <xdr:rowOff>48967</xdr:rowOff>
    </xdr:to>
    <xdr:sp macro="" textlink="">
      <xdr:nvSpPr>
        <xdr:cNvPr id="14" name="Rectangle: Rounded Corners 13">
          <a:hlinkClick xmlns:r="http://schemas.openxmlformats.org/officeDocument/2006/relationships" r:id="rId3"/>
          <a:extLst>
            <a:ext uri="{FF2B5EF4-FFF2-40B4-BE49-F238E27FC236}">
              <a16:creationId xmlns:a16="http://schemas.microsoft.com/office/drawing/2014/main" id="{B7EF2E62-354D-452E-B5AE-740D2545758A}"/>
            </a:ext>
          </a:extLst>
        </xdr:cNvPr>
        <xdr:cNvSpPr/>
      </xdr:nvSpPr>
      <xdr:spPr>
        <a:xfrm>
          <a:off x="151642" y="1821263"/>
          <a:ext cx="1659507" cy="437504"/>
        </a:xfrm>
        <a:prstGeom prst="roundRect">
          <a:avLst/>
        </a:prstGeom>
        <a:no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cap="none" spc="0">
              <a:ln w="0"/>
              <a:solidFill>
                <a:schemeClr val="bg1"/>
              </a:solidFill>
              <a:effectLst>
                <a:outerShdw blurRad="38100" dist="19050" dir="2700000" algn="tl" rotWithShape="0">
                  <a:schemeClr val="dk1">
                    <a:alpha val="40000"/>
                  </a:schemeClr>
                </a:outerShdw>
              </a:effectLst>
            </a:rPr>
            <a:t>DASH BOARD</a:t>
          </a:r>
        </a:p>
      </xdr:txBody>
    </xdr:sp>
    <xdr:clientData/>
  </xdr:twoCellAnchor>
  <xdr:twoCellAnchor>
    <xdr:from>
      <xdr:col>0</xdr:col>
      <xdr:colOff>150918</xdr:colOff>
      <xdr:row>13</xdr:row>
      <xdr:rowOff>91262</xdr:rowOff>
    </xdr:from>
    <xdr:to>
      <xdr:col>3</xdr:col>
      <xdr:colOff>248</xdr:colOff>
      <xdr:row>15</xdr:row>
      <xdr:rowOff>156391</xdr:rowOff>
    </xdr:to>
    <xdr:sp macro="" textlink="">
      <xdr:nvSpPr>
        <xdr:cNvPr id="15" name="Rectangle: Rounded Corners 14">
          <a:extLst>
            <a:ext uri="{FF2B5EF4-FFF2-40B4-BE49-F238E27FC236}">
              <a16:creationId xmlns:a16="http://schemas.microsoft.com/office/drawing/2014/main" id="{DCFE5676-F958-4789-B7F5-A73967C7E446}"/>
            </a:ext>
          </a:extLst>
        </xdr:cNvPr>
        <xdr:cNvSpPr/>
      </xdr:nvSpPr>
      <xdr:spPr>
        <a:xfrm>
          <a:off x="150918" y="2485212"/>
          <a:ext cx="1678130" cy="433429"/>
        </a:xfrm>
        <a:prstGeom prst="roundRect">
          <a:avLst/>
        </a:prstGeom>
        <a:solidFill>
          <a:schemeClr val="bg1">
            <a:lumMod val="95000"/>
          </a:schemeClr>
        </a:solid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cap="none" spc="0">
              <a:ln w="0"/>
              <a:solidFill>
                <a:schemeClr val="tx1"/>
              </a:solidFill>
              <a:effectLst>
                <a:outerShdw blurRad="38100" dist="19050" dir="2700000" algn="tl" rotWithShape="0">
                  <a:schemeClr val="dk1">
                    <a:alpha val="40000"/>
                  </a:schemeClr>
                </a:outerShdw>
              </a:effectLst>
            </a:rPr>
            <a:t>   PRODUCTS</a:t>
          </a:r>
        </a:p>
      </xdr:txBody>
    </xdr:sp>
    <xdr:clientData/>
  </xdr:twoCellAnchor>
  <xdr:twoCellAnchor>
    <xdr:from>
      <xdr:col>0</xdr:col>
      <xdr:colOff>142199</xdr:colOff>
      <xdr:row>16</xdr:row>
      <xdr:rowOff>167841</xdr:rowOff>
    </xdr:from>
    <xdr:to>
      <xdr:col>2</xdr:col>
      <xdr:colOff>598096</xdr:colOff>
      <xdr:row>19</xdr:row>
      <xdr:rowOff>52895</xdr:rowOff>
    </xdr:to>
    <xdr:sp macro="" textlink="">
      <xdr:nvSpPr>
        <xdr:cNvPr id="17" name="Rectangle: Rounded Corners 16">
          <a:hlinkClick xmlns:r="http://schemas.openxmlformats.org/officeDocument/2006/relationships" r:id="rId4"/>
          <a:extLst>
            <a:ext uri="{FF2B5EF4-FFF2-40B4-BE49-F238E27FC236}">
              <a16:creationId xmlns:a16="http://schemas.microsoft.com/office/drawing/2014/main" id="{A95D2993-3FAC-4914-8FD7-97C24311FF74}"/>
            </a:ext>
          </a:extLst>
        </xdr:cNvPr>
        <xdr:cNvSpPr/>
      </xdr:nvSpPr>
      <xdr:spPr>
        <a:xfrm>
          <a:off x="142199" y="3114241"/>
          <a:ext cx="1675097" cy="437504"/>
        </a:xfrm>
        <a:prstGeom prst="roundRect">
          <a:avLst/>
        </a:prstGeom>
        <a:no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cap="none" spc="0">
              <a:ln w="0"/>
              <a:solidFill>
                <a:schemeClr val="bg1"/>
              </a:solidFill>
              <a:effectLst>
                <a:outerShdw blurRad="38100" dist="19050" dir="2700000" algn="tl" rotWithShape="0">
                  <a:schemeClr val="dk1">
                    <a:alpha val="40000"/>
                  </a:schemeClr>
                </a:outerShdw>
              </a:effectLst>
            </a:rPr>
            <a:t> SALES MANS</a:t>
          </a:r>
          <a:endParaRPr lang="en-IN" sz="20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4</xdr:col>
      <xdr:colOff>350428</xdr:colOff>
      <xdr:row>14</xdr:row>
      <xdr:rowOff>171204</xdr:rowOff>
    </xdr:from>
    <xdr:to>
      <xdr:col>7</xdr:col>
      <xdr:colOff>228313</xdr:colOff>
      <xdr:row>16</xdr:row>
      <xdr:rowOff>179345</xdr:rowOff>
    </xdr:to>
    <xdr:sp macro="" textlink="">
      <xdr:nvSpPr>
        <xdr:cNvPr id="19" name="Rectangle 18">
          <a:extLst>
            <a:ext uri="{FF2B5EF4-FFF2-40B4-BE49-F238E27FC236}">
              <a16:creationId xmlns:a16="http://schemas.microsoft.com/office/drawing/2014/main" id="{551226DC-9C1D-4FDD-813A-9F31F5D14F7C}"/>
            </a:ext>
          </a:extLst>
        </xdr:cNvPr>
        <xdr:cNvSpPr/>
      </xdr:nvSpPr>
      <xdr:spPr>
        <a:xfrm>
          <a:off x="2788828" y="2749304"/>
          <a:ext cx="1706685" cy="37644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600" b="1">
            <a:solidFill>
              <a:srgbClr val="7030A0"/>
            </a:solidFill>
          </a:endParaRPr>
        </a:p>
      </xdr:txBody>
    </xdr:sp>
    <xdr:clientData/>
  </xdr:twoCellAnchor>
  <xdr:twoCellAnchor>
    <xdr:from>
      <xdr:col>12</xdr:col>
      <xdr:colOff>540104</xdr:colOff>
      <xdr:row>11</xdr:row>
      <xdr:rowOff>163707</xdr:rowOff>
    </xdr:from>
    <xdr:to>
      <xdr:col>18</xdr:col>
      <xdr:colOff>211667</xdr:colOff>
      <xdr:row>14</xdr:row>
      <xdr:rowOff>26458</xdr:rowOff>
    </xdr:to>
    <xdr:sp macro="" textlink="">
      <xdr:nvSpPr>
        <xdr:cNvPr id="21" name="Rectangle: Rounded Corners 20">
          <a:extLst>
            <a:ext uri="{FF2B5EF4-FFF2-40B4-BE49-F238E27FC236}">
              <a16:creationId xmlns:a16="http://schemas.microsoft.com/office/drawing/2014/main" id="{C302047C-5050-4AAA-94E0-488FE84066BF}"/>
            </a:ext>
          </a:extLst>
        </xdr:cNvPr>
        <xdr:cNvSpPr/>
      </xdr:nvSpPr>
      <xdr:spPr>
        <a:xfrm>
          <a:off x="7842604" y="2200999"/>
          <a:ext cx="3322813" cy="418376"/>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tx1"/>
              </a:solidFill>
            </a:rPr>
            <a:t>TOP 3 SELLING PRODUCTS</a:t>
          </a:r>
        </a:p>
      </xdr:txBody>
    </xdr:sp>
    <xdr:clientData/>
  </xdr:twoCellAnchor>
  <xdr:twoCellAnchor>
    <xdr:from>
      <xdr:col>3</xdr:col>
      <xdr:colOff>397765</xdr:colOff>
      <xdr:row>14</xdr:row>
      <xdr:rowOff>6384</xdr:rowOff>
    </xdr:from>
    <xdr:to>
      <xdr:col>10</xdr:col>
      <xdr:colOff>515936</xdr:colOff>
      <xdr:row>16</xdr:row>
      <xdr:rowOff>183452</xdr:rowOff>
    </xdr:to>
    <xdr:sp macro="" textlink="">
      <xdr:nvSpPr>
        <xdr:cNvPr id="23" name="Rectangle: Rounded Corners 22">
          <a:extLst>
            <a:ext uri="{FF2B5EF4-FFF2-40B4-BE49-F238E27FC236}">
              <a16:creationId xmlns:a16="http://schemas.microsoft.com/office/drawing/2014/main" id="{E8BEDFC1-BD14-436C-9A2F-3352CC3DC83F}"/>
            </a:ext>
          </a:extLst>
        </xdr:cNvPr>
        <xdr:cNvSpPr/>
      </xdr:nvSpPr>
      <xdr:spPr>
        <a:xfrm>
          <a:off x="2223390" y="2599301"/>
          <a:ext cx="4377963" cy="547484"/>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tx1"/>
              </a:solidFill>
            </a:rPr>
            <a:t>SALES</a:t>
          </a:r>
          <a:r>
            <a:rPr lang="en-IN" sz="2000" b="1" baseline="0">
              <a:solidFill>
                <a:schemeClr val="tx1"/>
              </a:solidFill>
            </a:rPr>
            <a:t> OF PRODUCT BY QTY</a:t>
          </a:r>
          <a:endParaRPr lang="en-IN" sz="2000" b="1">
            <a:solidFill>
              <a:schemeClr val="tx1"/>
            </a:solidFill>
          </a:endParaRPr>
        </a:p>
      </xdr:txBody>
    </xdr:sp>
    <xdr:clientData/>
  </xdr:twoCellAnchor>
  <xdr:twoCellAnchor>
    <xdr:from>
      <xdr:col>12</xdr:col>
      <xdr:colOff>568534</xdr:colOff>
      <xdr:row>21</xdr:row>
      <xdr:rowOff>78411</xdr:rowOff>
    </xdr:from>
    <xdr:to>
      <xdr:col>20</xdr:col>
      <xdr:colOff>277813</xdr:colOff>
      <xdr:row>24</xdr:row>
      <xdr:rowOff>145521</xdr:rowOff>
    </xdr:to>
    <xdr:sp macro="" textlink="">
      <xdr:nvSpPr>
        <xdr:cNvPr id="24" name="Rectangle: Rounded Corners 23">
          <a:extLst>
            <a:ext uri="{FF2B5EF4-FFF2-40B4-BE49-F238E27FC236}">
              <a16:creationId xmlns:a16="http://schemas.microsoft.com/office/drawing/2014/main" id="{A34262A1-9CD4-4AF4-B6AD-3491751276DC}"/>
            </a:ext>
          </a:extLst>
        </xdr:cNvPr>
        <xdr:cNvSpPr/>
      </xdr:nvSpPr>
      <xdr:spPr>
        <a:xfrm>
          <a:off x="7871034" y="3967786"/>
          <a:ext cx="4577612" cy="622735"/>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tx1"/>
              </a:solidFill>
            </a:rPr>
            <a:t>BOTOM</a:t>
          </a:r>
          <a:r>
            <a:rPr lang="en-IN" sz="2000" b="1" baseline="0">
              <a:solidFill>
                <a:schemeClr val="tx1"/>
              </a:solidFill>
            </a:rPr>
            <a:t> 3 SELLING PRODUCTS</a:t>
          </a:r>
          <a:endParaRPr lang="en-IN" sz="2000" b="1">
            <a:solidFill>
              <a:schemeClr val="tx1"/>
            </a:solidFill>
          </a:endParaRPr>
        </a:p>
      </xdr:txBody>
    </xdr:sp>
    <xdr:clientData/>
  </xdr:twoCellAnchor>
  <xdr:twoCellAnchor>
    <xdr:from>
      <xdr:col>4</xdr:col>
      <xdr:colOff>366710</xdr:colOff>
      <xdr:row>17</xdr:row>
      <xdr:rowOff>163064</xdr:rowOff>
    </xdr:from>
    <xdr:to>
      <xdr:col>7</xdr:col>
      <xdr:colOff>244595</xdr:colOff>
      <xdr:row>19</xdr:row>
      <xdr:rowOff>171205</xdr:rowOff>
    </xdr:to>
    <xdr:sp macro="" textlink="">
      <xdr:nvSpPr>
        <xdr:cNvPr id="25" name="Rectangle 24">
          <a:extLst>
            <a:ext uri="{FF2B5EF4-FFF2-40B4-BE49-F238E27FC236}">
              <a16:creationId xmlns:a16="http://schemas.microsoft.com/office/drawing/2014/main" id="{B99910E6-1C13-4EDE-B542-22194B3E65BA}"/>
            </a:ext>
          </a:extLst>
        </xdr:cNvPr>
        <xdr:cNvSpPr/>
      </xdr:nvSpPr>
      <xdr:spPr>
        <a:xfrm>
          <a:off x="2805110" y="3293614"/>
          <a:ext cx="1706685" cy="37644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600" b="1">
            <a:solidFill>
              <a:srgbClr val="7030A0"/>
            </a:solidFill>
          </a:endParaRPr>
        </a:p>
      </xdr:txBody>
    </xdr:sp>
    <xdr:clientData/>
  </xdr:twoCellAnchor>
  <xdr:twoCellAnchor>
    <xdr:from>
      <xdr:col>4</xdr:col>
      <xdr:colOff>401741</xdr:colOff>
      <xdr:row>17</xdr:row>
      <xdr:rowOff>55010</xdr:rowOff>
    </xdr:from>
    <xdr:to>
      <xdr:col>7</xdr:col>
      <xdr:colOff>279626</xdr:colOff>
      <xdr:row>19</xdr:row>
      <xdr:rowOff>63151</xdr:rowOff>
    </xdr:to>
    <xdr:sp macro="" textlink="">
      <xdr:nvSpPr>
        <xdr:cNvPr id="26" name="Rectangle 25">
          <a:extLst>
            <a:ext uri="{FF2B5EF4-FFF2-40B4-BE49-F238E27FC236}">
              <a16:creationId xmlns:a16="http://schemas.microsoft.com/office/drawing/2014/main" id="{1516915E-9294-40D7-90D3-0FF213EEFE29}"/>
            </a:ext>
          </a:extLst>
        </xdr:cNvPr>
        <xdr:cNvSpPr/>
      </xdr:nvSpPr>
      <xdr:spPr>
        <a:xfrm>
          <a:off x="2840141" y="3185560"/>
          <a:ext cx="1706685" cy="37644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600" b="1">
            <a:solidFill>
              <a:srgbClr val="7030A0"/>
            </a:solidFill>
          </a:endParaRPr>
        </a:p>
      </xdr:txBody>
    </xdr:sp>
    <xdr:clientData/>
  </xdr:twoCellAnchor>
  <xdr:twoCellAnchor>
    <xdr:from>
      <xdr:col>4</xdr:col>
      <xdr:colOff>465882</xdr:colOff>
      <xdr:row>14</xdr:row>
      <xdr:rowOff>151222</xdr:rowOff>
    </xdr:from>
    <xdr:to>
      <xdr:col>7</xdr:col>
      <xdr:colOff>343767</xdr:colOff>
      <xdr:row>16</xdr:row>
      <xdr:rowOff>159362</xdr:rowOff>
    </xdr:to>
    <xdr:sp macro="" textlink="">
      <xdr:nvSpPr>
        <xdr:cNvPr id="27" name="Rectangle 26">
          <a:extLst>
            <a:ext uri="{FF2B5EF4-FFF2-40B4-BE49-F238E27FC236}">
              <a16:creationId xmlns:a16="http://schemas.microsoft.com/office/drawing/2014/main" id="{49D9326D-E997-49C8-9818-4C67C1930197}"/>
            </a:ext>
          </a:extLst>
        </xdr:cNvPr>
        <xdr:cNvSpPr/>
      </xdr:nvSpPr>
      <xdr:spPr>
        <a:xfrm>
          <a:off x="2904282" y="2729322"/>
          <a:ext cx="1706685" cy="3764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600" b="1">
            <a:solidFill>
              <a:srgbClr val="7030A0"/>
            </a:solidFill>
          </a:endParaRPr>
        </a:p>
      </xdr:txBody>
    </xdr:sp>
    <xdr:clientData/>
  </xdr:twoCellAnchor>
  <xdr:twoCellAnchor>
    <xdr:from>
      <xdr:col>4</xdr:col>
      <xdr:colOff>472296</xdr:colOff>
      <xdr:row>16</xdr:row>
      <xdr:rowOff>157636</xdr:rowOff>
    </xdr:from>
    <xdr:to>
      <xdr:col>7</xdr:col>
      <xdr:colOff>350181</xdr:colOff>
      <xdr:row>18</xdr:row>
      <xdr:rowOff>165777</xdr:rowOff>
    </xdr:to>
    <xdr:sp macro="" textlink="">
      <xdr:nvSpPr>
        <xdr:cNvPr id="28" name="Rectangle 27">
          <a:extLst>
            <a:ext uri="{FF2B5EF4-FFF2-40B4-BE49-F238E27FC236}">
              <a16:creationId xmlns:a16="http://schemas.microsoft.com/office/drawing/2014/main" id="{0075F6EF-CCF6-4FC2-9200-BF5677EBA63D}"/>
            </a:ext>
          </a:extLst>
        </xdr:cNvPr>
        <xdr:cNvSpPr/>
      </xdr:nvSpPr>
      <xdr:spPr>
        <a:xfrm>
          <a:off x="2910696" y="3104036"/>
          <a:ext cx="1706685" cy="37644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600" b="1">
            <a:solidFill>
              <a:srgbClr val="7030A0"/>
            </a:solidFill>
          </a:endParaRPr>
        </a:p>
      </xdr:txBody>
    </xdr:sp>
    <xdr:clientData/>
  </xdr:twoCellAnchor>
  <xdr:twoCellAnchor>
    <xdr:from>
      <xdr:col>4</xdr:col>
      <xdr:colOff>491538</xdr:colOff>
      <xdr:row>17</xdr:row>
      <xdr:rowOff>48595</xdr:rowOff>
    </xdr:from>
    <xdr:to>
      <xdr:col>7</xdr:col>
      <xdr:colOff>369423</xdr:colOff>
      <xdr:row>19</xdr:row>
      <xdr:rowOff>56736</xdr:rowOff>
    </xdr:to>
    <xdr:sp macro="" textlink="">
      <xdr:nvSpPr>
        <xdr:cNvPr id="29" name="Rectangle 28">
          <a:extLst>
            <a:ext uri="{FF2B5EF4-FFF2-40B4-BE49-F238E27FC236}">
              <a16:creationId xmlns:a16="http://schemas.microsoft.com/office/drawing/2014/main" id="{C54A359E-9E93-4C0E-953A-D63E5C630010}"/>
            </a:ext>
          </a:extLst>
        </xdr:cNvPr>
        <xdr:cNvSpPr/>
      </xdr:nvSpPr>
      <xdr:spPr>
        <a:xfrm>
          <a:off x="2929938" y="3179145"/>
          <a:ext cx="1706685" cy="37644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600" b="1">
            <a:solidFill>
              <a:srgbClr val="7030A0"/>
            </a:solidFill>
          </a:endParaRPr>
        </a:p>
      </xdr:txBody>
    </xdr:sp>
    <xdr:clientData/>
  </xdr:twoCellAnchor>
  <xdr:twoCellAnchor>
    <xdr:from>
      <xdr:col>9</xdr:col>
      <xdr:colOff>320390</xdr:colOff>
      <xdr:row>14</xdr:row>
      <xdr:rowOff>152248</xdr:rowOff>
    </xdr:from>
    <xdr:to>
      <xdr:col>12</xdr:col>
      <xdr:colOff>198274</xdr:colOff>
      <xdr:row>16</xdr:row>
      <xdr:rowOff>160389</xdr:rowOff>
    </xdr:to>
    <xdr:sp macro="" textlink="">
      <xdr:nvSpPr>
        <xdr:cNvPr id="33" name="Rectangle 32">
          <a:extLst>
            <a:ext uri="{FF2B5EF4-FFF2-40B4-BE49-F238E27FC236}">
              <a16:creationId xmlns:a16="http://schemas.microsoft.com/office/drawing/2014/main" id="{D123BD1D-42F8-4B0E-B04B-E367C322C6A8}"/>
            </a:ext>
          </a:extLst>
        </xdr:cNvPr>
        <xdr:cNvSpPr/>
      </xdr:nvSpPr>
      <xdr:spPr>
        <a:xfrm>
          <a:off x="5806790" y="2730348"/>
          <a:ext cx="1706684" cy="37644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rgbClr val="FFC000"/>
              </a:solidFill>
            </a:rPr>
            <a:t>    </a:t>
          </a:r>
        </a:p>
      </xdr:txBody>
    </xdr:sp>
    <xdr:clientData/>
  </xdr:twoCellAnchor>
  <xdr:twoCellAnchor>
    <xdr:from>
      <xdr:col>5</xdr:col>
      <xdr:colOff>112793</xdr:colOff>
      <xdr:row>16</xdr:row>
      <xdr:rowOff>54556</xdr:rowOff>
    </xdr:from>
    <xdr:to>
      <xdr:col>7</xdr:col>
      <xdr:colOff>601255</xdr:colOff>
      <xdr:row>18</xdr:row>
      <xdr:rowOff>62697</xdr:rowOff>
    </xdr:to>
    <xdr:sp macro="" textlink="PRODUCTS!$C$27">
      <xdr:nvSpPr>
        <xdr:cNvPr id="34" name="Rectangle 33">
          <a:extLst>
            <a:ext uri="{FF2B5EF4-FFF2-40B4-BE49-F238E27FC236}">
              <a16:creationId xmlns:a16="http://schemas.microsoft.com/office/drawing/2014/main" id="{7646E20C-97E8-4B44-AE45-4EE30BF4D8E7}"/>
            </a:ext>
          </a:extLst>
        </xdr:cNvPr>
        <xdr:cNvSpPr/>
      </xdr:nvSpPr>
      <xdr:spPr>
        <a:xfrm>
          <a:off x="3160793" y="3000956"/>
          <a:ext cx="1707662" cy="37644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C9ED80F7-E4AB-4B55-96D6-D04D37054DD0}" type="TxLink">
            <a:rPr lang="en-US" sz="1100" b="0" i="0" u="none" strike="noStrike">
              <a:solidFill>
                <a:srgbClr val="000000"/>
              </a:solidFill>
              <a:latin typeface="Calibri"/>
              <a:ea typeface="Calibri"/>
              <a:cs typeface="Calibri"/>
            </a:rPr>
            <a:pPr algn="l"/>
            <a:t> </a:t>
          </a:fld>
          <a:endParaRPr lang="en-US" sz="1600" b="1"/>
        </a:p>
      </xdr:txBody>
    </xdr:sp>
    <xdr:clientData/>
  </xdr:twoCellAnchor>
  <xdr:twoCellAnchor>
    <xdr:from>
      <xdr:col>9</xdr:col>
      <xdr:colOff>349585</xdr:colOff>
      <xdr:row>14</xdr:row>
      <xdr:rowOff>137651</xdr:rowOff>
    </xdr:from>
    <xdr:to>
      <xdr:col>12</xdr:col>
      <xdr:colOff>227469</xdr:colOff>
      <xdr:row>16</xdr:row>
      <xdr:rowOff>145792</xdr:rowOff>
    </xdr:to>
    <xdr:sp macro="" textlink="">
      <xdr:nvSpPr>
        <xdr:cNvPr id="37" name="Rectangle 36">
          <a:extLst>
            <a:ext uri="{FF2B5EF4-FFF2-40B4-BE49-F238E27FC236}">
              <a16:creationId xmlns:a16="http://schemas.microsoft.com/office/drawing/2014/main" id="{4469843C-9DC0-451B-824B-735CB7CD074A}"/>
            </a:ext>
          </a:extLst>
        </xdr:cNvPr>
        <xdr:cNvSpPr/>
      </xdr:nvSpPr>
      <xdr:spPr>
        <a:xfrm>
          <a:off x="5835985" y="2715751"/>
          <a:ext cx="1706684" cy="37644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rgbClr val="FFC000"/>
              </a:solidFill>
            </a:rPr>
            <a:t>    </a:t>
          </a:r>
        </a:p>
      </xdr:txBody>
    </xdr:sp>
    <xdr:clientData/>
  </xdr:twoCellAnchor>
  <xdr:twoCellAnchor>
    <xdr:from>
      <xdr:col>4</xdr:col>
      <xdr:colOff>524758</xdr:colOff>
      <xdr:row>16</xdr:row>
      <xdr:rowOff>35467</xdr:rowOff>
    </xdr:from>
    <xdr:to>
      <xdr:col>7</xdr:col>
      <xdr:colOff>402642</xdr:colOff>
      <xdr:row>18</xdr:row>
      <xdr:rowOff>43607</xdr:rowOff>
    </xdr:to>
    <xdr:sp macro="" textlink="PRODUCTS!$C$27">
      <xdr:nvSpPr>
        <xdr:cNvPr id="39" name="Rectangle 38">
          <a:extLst>
            <a:ext uri="{FF2B5EF4-FFF2-40B4-BE49-F238E27FC236}">
              <a16:creationId xmlns:a16="http://schemas.microsoft.com/office/drawing/2014/main" id="{99C10E13-F773-4D84-9FEF-F058A12EC70C}"/>
            </a:ext>
          </a:extLst>
        </xdr:cNvPr>
        <xdr:cNvSpPr/>
      </xdr:nvSpPr>
      <xdr:spPr>
        <a:xfrm>
          <a:off x="2963158" y="2981867"/>
          <a:ext cx="1706684" cy="3764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5FF5957F-0A03-47F6-9538-68C14458AEC1}" type="TxLink">
            <a:rPr lang="en-US" sz="1100" b="0" i="0" u="none" strike="noStrike">
              <a:solidFill>
                <a:srgbClr val="000000"/>
              </a:solidFill>
              <a:latin typeface="Calibri"/>
              <a:ea typeface="Calibri"/>
              <a:cs typeface="Calibri"/>
            </a:rPr>
            <a:pPr algn="l"/>
            <a:t> </a:t>
          </a:fld>
          <a:endParaRPr lang="en-IN" sz="1600" b="1">
            <a:solidFill>
              <a:srgbClr val="FFC000"/>
            </a:solidFill>
          </a:endParaRPr>
        </a:p>
      </xdr:txBody>
    </xdr:sp>
    <xdr:clientData/>
  </xdr:twoCellAnchor>
  <xdr:twoCellAnchor>
    <xdr:from>
      <xdr:col>13</xdr:col>
      <xdr:colOff>132536</xdr:colOff>
      <xdr:row>23</xdr:row>
      <xdr:rowOff>152644</xdr:rowOff>
    </xdr:from>
    <xdr:to>
      <xdr:col>19</xdr:col>
      <xdr:colOff>170962</xdr:colOff>
      <xdr:row>32</xdr:row>
      <xdr:rowOff>36635</xdr:rowOff>
    </xdr:to>
    <xdr:graphicFrame macro="">
      <xdr:nvGraphicFramePr>
        <xdr:cNvPr id="41" name="Chart 40">
          <a:extLst>
            <a:ext uri="{FF2B5EF4-FFF2-40B4-BE49-F238E27FC236}">
              <a16:creationId xmlns:a16="http://schemas.microsoft.com/office/drawing/2014/main" id="{50828AAC-C626-4727-A75E-FB488E0ABD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54952</xdr:colOff>
      <xdr:row>13</xdr:row>
      <xdr:rowOff>170962</xdr:rowOff>
    </xdr:from>
    <xdr:to>
      <xdr:col>19</xdr:col>
      <xdr:colOff>537889</xdr:colOff>
      <xdr:row>21</xdr:row>
      <xdr:rowOff>2795</xdr:rowOff>
    </xdr:to>
    <xdr:graphicFrame macro="">
      <xdr:nvGraphicFramePr>
        <xdr:cNvPr id="42" name="Chart 41">
          <a:extLst>
            <a:ext uri="{FF2B5EF4-FFF2-40B4-BE49-F238E27FC236}">
              <a16:creationId xmlns:a16="http://schemas.microsoft.com/office/drawing/2014/main" id="{9F530C1D-8BBB-4E34-A2DF-68F0F0DAFA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480349</xdr:colOff>
      <xdr:row>16</xdr:row>
      <xdr:rowOff>71922</xdr:rowOff>
    </xdr:from>
    <xdr:to>
      <xdr:col>11</xdr:col>
      <xdr:colOff>186997</xdr:colOff>
      <xdr:row>30</xdr:row>
      <xdr:rowOff>185685</xdr:rowOff>
    </xdr:to>
    <xdr:graphicFrame macro="">
      <xdr:nvGraphicFramePr>
        <xdr:cNvPr id="43" name="Chart 42">
          <a:extLst>
            <a:ext uri="{FF2B5EF4-FFF2-40B4-BE49-F238E27FC236}">
              <a16:creationId xmlns:a16="http://schemas.microsoft.com/office/drawing/2014/main" id="{B01F75F7-3DB8-4336-9F81-A1A2C4E48A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125211</xdr:colOff>
      <xdr:row>0</xdr:row>
      <xdr:rowOff>0</xdr:rowOff>
    </xdr:from>
    <xdr:to>
      <xdr:col>22</xdr:col>
      <xdr:colOff>491972</xdr:colOff>
      <xdr:row>33</xdr:row>
      <xdr:rowOff>4233</xdr:rowOff>
    </xdr:to>
    <xdr:sp macro="" textlink="">
      <xdr:nvSpPr>
        <xdr:cNvPr id="2" name="Rectangle: Rounded Corners 1">
          <a:extLst>
            <a:ext uri="{FF2B5EF4-FFF2-40B4-BE49-F238E27FC236}">
              <a16:creationId xmlns:a16="http://schemas.microsoft.com/office/drawing/2014/main" id="{8D9626E6-38BC-4B24-8727-532DCF78A634}"/>
            </a:ext>
          </a:extLst>
        </xdr:cNvPr>
        <xdr:cNvSpPr/>
      </xdr:nvSpPr>
      <xdr:spPr>
        <a:xfrm>
          <a:off x="125211" y="0"/>
          <a:ext cx="13746479" cy="6202191"/>
        </a:xfrm>
        <a:prstGeom prst="roundRect">
          <a:avLst>
            <a:gd name="adj" fmla="val 503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71549</xdr:colOff>
      <xdr:row>0</xdr:row>
      <xdr:rowOff>26831</xdr:rowOff>
    </xdr:from>
    <xdr:to>
      <xdr:col>22</xdr:col>
      <xdr:colOff>407358</xdr:colOff>
      <xdr:row>32</xdr:row>
      <xdr:rowOff>160986</xdr:rowOff>
    </xdr:to>
    <xdr:sp macro="" textlink="">
      <xdr:nvSpPr>
        <xdr:cNvPr id="3" name="Rectangle: Rounded Corners 2">
          <a:extLst>
            <a:ext uri="{FF2B5EF4-FFF2-40B4-BE49-F238E27FC236}">
              <a16:creationId xmlns:a16="http://schemas.microsoft.com/office/drawing/2014/main" id="{ABB4301C-09DC-4F0B-849E-5FDCB19F46F4}"/>
            </a:ext>
          </a:extLst>
        </xdr:cNvPr>
        <xdr:cNvSpPr/>
      </xdr:nvSpPr>
      <xdr:spPr>
        <a:xfrm>
          <a:off x="1896056" y="26831"/>
          <a:ext cx="11891020" cy="6144296"/>
        </a:xfrm>
        <a:prstGeom prst="roundRect">
          <a:avLst>
            <a:gd name="adj" fmla="val 7540"/>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325641</xdr:colOff>
      <xdr:row>0</xdr:row>
      <xdr:rowOff>162820</xdr:rowOff>
    </xdr:from>
    <xdr:to>
      <xdr:col>12</xdr:col>
      <xdr:colOff>529167</xdr:colOff>
      <xdr:row>7</xdr:row>
      <xdr:rowOff>130257</xdr:rowOff>
    </xdr:to>
    <mc:AlternateContent xmlns:mc="http://schemas.openxmlformats.org/markup-compatibility/2006" xmlns:tsle="http://schemas.microsoft.com/office/drawing/2012/timeslicer">
      <mc:Choice Requires="tsle">
        <xdr:graphicFrame macro="">
          <xdr:nvGraphicFramePr>
            <xdr:cNvPr id="4" name="Date 3">
              <a:extLst>
                <a:ext uri="{FF2B5EF4-FFF2-40B4-BE49-F238E27FC236}">
                  <a16:creationId xmlns:a16="http://schemas.microsoft.com/office/drawing/2014/main" id="{BEE3DA18-3F4A-429B-883C-30B36D2DD19E}"/>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2150148" y="162820"/>
              <a:ext cx="5677047" cy="128215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12</xdr:col>
      <xdr:colOff>586155</xdr:colOff>
      <xdr:row>0</xdr:row>
      <xdr:rowOff>146537</xdr:rowOff>
    </xdr:from>
    <xdr:to>
      <xdr:col>22</xdr:col>
      <xdr:colOff>187244</xdr:colOff>
      <xdr:row>7</xdr:row>
      <xdr:rowOff>146539</xdr:rowOff>
    </xdr:to>
    <mc:AlternateContent xmlns:mc="http://schemas.openxmlformats.org/markup-compatibility/2006" xmlns:a14="http://schemas.microsoft.com/office/drawing/2010/main">
      <mc:Choice Requires="a14">
        <xdr:graphicFrame macro="">
          <xdr:nvGraphicFramePr>
            <xdr:cNvPr id="5" name="Place 3">
              <a:extLst>
                <a:ext uri="{FF2B5EF4-FFF2-40B4-BE49-F238E27FC236}">
                  <a16:creationId xmlns:a16="http://schemas.microsoft.com/office/drawing/2014/main" id="{EC1E7164-155E-428E-B857-9A3109D21DF5}"/>
                </a:ext>
              </a:extLst>
            </xdr:cNvPr>
            <xdr:cNvGraphicFramePr/>
          </xdr:nvGraphicFramePr>
          <xdr:xfrm>
            <a:off x="0" y="0"/>
            <a:ext cx="0" cy="0"/>
          </xdr:xfrm>
          <a:graphic>
            <a:graphicData uri="http://schemas.microsoft.com/office/drawing/2010/slicer">
              <sle:slicer xmlns:sle="http://schemas.microsoft.com/office/drawing/2010/slicer" name="Place 3"/>
            </a:graphicData>
          </a:graphic>
        </xdr:graphicFrame>
      </mc:Choice>
      <mc:Fallback xmlns="">
        <xdr:sp macro="" textlink="">
          <xdr:nvSpPr>
            <xdr:cNvPr id="0" name=""/>
            <xdr:cNvSpPr>
              <a:spLocks noTextEdit="1"/>
            </xdr:cNvSpPr>
          </xdr:nvSpPr>
          <xdr:spPr>
            <a:xfrm>
              <a:off x="7884183" y="146537"/>
              <a:ext cx="5682779" cy="1314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293078</xdr:colOff>
      <xdr:row>8</xdr:row>
      <xdr:rowOff>888</xdr:rowOff>
    </xdr:from>
    <xdr:to>
      <xdr:col>22</xdr:col>
      <xdr:colOff>179103</xdr:colOff>
      <xdr:row>11</xdr:row>
      <xdr:rowOff>74157</xdr:rowOff>
    </xdr:to>
    <mc:AlternateContent xmlns:mc="http://schemas.openxmlformats.org/markup-compatibility/2006" xmlns:a14="http://schemas.microsoft.com/office/drawing/2010/main">
      <mc:Choice Requires="a14">
        <xdr:graphicFrame macro="">
          <xdr:nvGraphicFramePr>
            <xdr:cNvPr id="6" name="Products 3">
              <a:extLst>
                <a:ext uri="{FF2B5EF4-FFF2-40B4-BE49-F238E27FC236}">
                  <a16:creationId xmlns:a16="http://schemas.microsoft.com/office/drawing/2014/main" id="{C39A83C5-6E15-4A77-874C-B21BCDD0968B}"/>
                </a:ext>
              </a:extLst>
            </xdr:cNvPr>
            <xdr:cNvGraphicFramePr/>
          </xdr:nvGraphicFramePr>
          <xdr:xfrm>
            <a:off x="0" y="0"/>
            <a:ext cx="0" cy="0"/>
          </xdr:xfrm>
          <a:graphic>
            <a:graphicData uri="http://schemas.microsoft.com/office/drawing/2010/slicer">
              <sle:slicer xmlns:sle="http://schemas.microsoft.com/office/drawing/2010/slicer" name="Products 3"/>
            </a:graphicData>
          </a:graphic>
        </xdr:graphicFrame>
      </mc:Choice>
      <mc:Fallback xmlns="">
        <xdr:sp macro="" textlink="">
          <xdr:nvSpPr>
            <xdr:cNvPr id="0" name=""/>
            <xdr:cNvSpPr>
              <a:spLocks noTextEdit="1"/>
            </xdr:cNvSpPr>
          </xdr:nvSpPr>
          <xdr:spPr>
            <a:xfrm>
              <a:off x="2117585" y="1503423"/>
              <a:ext cx="11441236" cy="636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276796</xdr:colOff>
      <xdr:row>11</xdr:row>
      <xdr:rowOff>113975</xdr:rowOff>
    </xdr:from>
    <xdr:to>
      <xdr:col>4</xdr:col>
      <xdr:colOff>8141</xdr:colOff>
      <xdr:row>13</xdr:row>
      <xdr:rowOff>81409</xdr:rowOff>
    </xdr:to>
    <xdr:pic>
      <xdr:nvPicPr>
        <xdr:cNvPr id="7" name="Graphic 6" descr="Bar chart with solid fill">
          <a:extLst>
            <a:ext uri="{FF2B5EF4-FFF2-40B4-BE49-F238E27FC236}">
              <a16:creationId xmlns:a16="http://schemas.microsoft.com/office/drawing/2014/main" id="{DFBC1856-D4C8-44D4-AF12-F6C83F70D40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05596" y="2139625"/>
          <a:ext cx="340945" cy="335734"/>
        </a:xfrm>
        <a:prstGeom prst="rect">
          <a:avLst/>
        </a:prstGeom>
      </xdr:spPr>
    </xdr:pic>
    <xdr:clientData/>
  </xdr:twoCellAnchor>
  <xdr:twoCellAnchor>
    <xdr:from>
      <xdr:col>3</xdr:col>
      <xdr:colOff>594295</xdr:colOff>
      <xdr:row>11</xdr:row>
      <xdr:rowOff>130256</xdr:rowOff>
    </xdr:from>
    <xdr:to>
      <xdr:col>6</xdr:col>
      <xdr:colOff>472179</xdr:colOff>
      <xdr:row>13</xdr:row>
      <xdr:rowOff>138397</xdr:rowOff>
    </xdr:to>
    <xdr:sp macro="" textlink="">
      <xdr:nvSpPr>
        <xdr:cNvPr id="8" name="Rectangle 7">
          <a:extLst>
            <a:ext uri="{FF2B5EF4-FFF2-40B4-BE49-F238E27FC236}">
              <a16:creationId xmlns:a16="http://schemas.microsoft.com/office/drawing/2014/main" id="{FEA5EA50-0F73-4724-870F-4BDF9CBFF1B1}"/>
            </a:ext>
          </a:extLst>
        </xdr:cNvPr>
        <xdr:cNvSpPr/>
      </xdr:nvSpPr>
      <xdr:spPr>
        <a:xfrm>
          <a:off x="2423095" y="2155906"/>
          <a:ext cx="1706684" cy="37644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tx2">
                  <a:lumMod val="50000"/>
                </a:schemeClr>
              </a:solidFill>
            </a:rPr>
            <a:t>ANALYTICS</a:t>
          </a:r>
        </a:p>
      </xdr:txBody>
    </xdr:sp>
    <xdr:clientData/>
  </xdr:twoCellAnchor>
  <xdr:twoCellAnchor>
    <xdr:from>
      <xdr:col>3</xdr:col>
      <xdr:colOff>264584</xdr:colOff>
      <xdr:row>13</xdr:row>
      <xdr:rowOff>105834</xdr:rowOff>
    </xdr:from>
    <xdr:to>
      <xdr:col>12</xdr:col>
      <xdr:colOff>412623</xdr:colOff>
      <xdr:row>31</xdr:row>
      <xdr:rowOff>183171</xdr:rowOff>
    </xdr:to>
    <xdr:sp macro="" textlink="">
      <xdr:nvSpPr>
        <xdr:cNvPr id="9" name="Rectangle 8">
          <a:extLst>
            <a:ext uri="{FF2B5EF4-FFF2-40B4-BE49-F238E27FC236}">
              <a16:creationId xmlns:a16="http://schemas.microsoft.com/office/drawing/2014/main" id="{3756D5C6-A8EB-424F-BE9A-161112E1439D}"/>
            </a:ext>
          </a:extLst>
        </xdr:cNvPr>
        <xdr:cNvSpPr/>
      </xdr:nvSpPr>
      <xdr:spPr>
        <a:xfrm>
          <a:off x="2093384" y="2499784"/>
          <a:ext cx="5634439" cy="339203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12</xdr:col>
      <xdr:colOff>518352</xdr:colOff>
      <xdr:row>11</xdr:row>
      <xdr:rowOff>156905</xdr:rowOff>
    </xdr:from>
    <xdr:to>
      <xdr:col>22</xdr:col>
      <xdr:colOff>184570</xdr:colOff>
      <xdr:row>21</xdr:row>
      <xdr:rowOff>9477</xdr:rowOff>
    </xdr:to>
    <xdr:sp macro="" textlink="">
      <xdr:nvSpPr>
        <xdr:cNvPr id="10" name="Rectangle 9">
          <a:extLst>
            <a:ext uri="{FF2B5EF4-FFF2-40B4-BE49-F238E27FC236}">
              <a16:creationId xmlns:a16="http://schemas.microsoft.com/office/drawing/2014/main" id="{10788609-1AF8-4B6C-9CC0-F68E12E1B6CD}"/>
            </a:ext>
          </a:extLst>
        </xdr:cNvPr>
        <xdr:cNvSpPr/>
      </xdr:nvSpPr>
      <xdr:spPr>
        <a:xfrm>
          <a:off x="7833552" y="2182555"/>
          <a:ext cx="5762218" cy="1694072"/>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543169</xdr:colOff>
      <xdr:row>21</xdr:row>
      <xdr:rowOff>63738</xdr:rowOff>
    </xdr:from>
    <xdr:to>
      <xdr:col>22</xdr:col>
      <xdr:colOff>209387</xdr:colOff>
      <xdr:row>32</xdr:row>
      <xdr:rowOff>56988</xdr:rowOff>
    </xdr:to>
    <xdr:sp macro="" textlink="">
      <xdr:nvSpPr>
        <xdr:cNvPr id="11" name="Rectangle 10">
          <a:extLst>
            <a:ext uri="{FF2B5EF4-FFF2-40B4-BE49-F238E27FC236}">
              <a16:creationId xmlns:a16="http://schemas.microsoft.com/office/drawing/2014/main" id="{D0EB7FBC-E665-40F9-A18D-821EF666228F}"/>
            </a:ext>
          </a:extLst>
        </xdr:cNvPr>
        <xdr:cNvSpPr/>
      </xdr:nvSpPr>
      <xdr:spPr>
        <a:xfrm>
          <a:off x="7858369" y="3930888"/>
          <a:ext cx="5762218" cy="20189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151642</xdr:colOff>
      <xdr:row>9</xdr:row>
      <xdr:rowOff>163913</xdr:rowOff>
    </xdr:from>
    <xdr:to>
      <xdr:col>2</xdr:col>
      <xdr:colOff>591949</xdr:colOff>
      <xdr:row>12</xdr:row>
      <xdr:rowOff>48967</xdr:rowOff>
    </xdr:to>
    <xdr:sp macro="" textlink="">
      <xdr:nvSpPr>
        <xdr:cNvPr id="12" name="Rectangle: Rounded Corners 11">
          <a:hlinkClick xmlns:r="http://schemas.openxmlformats.org/officeDocument/2006/relationships" r:id="rId3"/>
          <a:extLst>
            <a:ext uri="{FF2B5EF4-FFF2-40B4-BE49-F238E27FC236}">
              <a16:creationId xmlns:a16="http://schemas.microsoft.com/office/drawing/2014/main" id="{6083FFD9-4A3E-4D63-81CB-F1E435BF2002}"/>
            </a:ext>
          </a:extLst>
        </xdr:cNvPr>
        <xdr:cNvSpPr/>
      </xdr:nvSpPr>
      <xdr:spPr>
        <a:xfrm>
          <a:off x="151642" y="1821263"/>
          <a:ext cx="1659507" cy="437504"/>
        </a:xfrm>
        <a:prstGeom prst="roundRect">
          <a:avLst/>
        </a:prstGeom>
        <a:no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cap="none" spc="0">
              <a:ln w="0"/>
              <a:solidFill>
                <a:schemeClr val="bg1"/>
              </a:solidFill>
              <a:effectLst>
                <a:outerShdw blurRad="38100" dist="19050" dir="2700000" algn="tl" rotWithShape="0">
                  <a:schemeClr val="dk1">
                    <a:alpha val="40000"/>
                  </a:schemeClr>
                </a:outerShdw>
              </a:effectLst>
            </a:rPr>
            <a:t>DASH BOARD</a:t>
          </a:r>
        </a:p>
      </xdr:txBody>
    </xdr:sp>
    <xdr:clientData/>
  </xdr:twoCellAnchor>
  <xdr:twoCellAnchor>
    <xdr:from>
      <xdr:col>0</xdr:col>
      <xdr:colOff>150918</xdr:colOff>
      <xdr:row>13</xdr:row>
      <xdr:rowOff>91262</xdr:rowOff>
    </xdr:from>
    <xdr:to>
      <xdr:col>3</xdr:col>
      <xdr:colOff>248</xdr:colOff>
      <xdr:row>15</xdr:row>
      <xdr:rowOff>156391</xdr:rowOff>
    </xdr:to>
    <xdr:sp macro="" textlink="">
      <xdr:nvSpPr>
        <xdr:cNvPr id="13" name="Rectangle: Rounded Corners 12">
          <a:hlinkClick xmlns:r="http://schemas.openxmlformats.org/officeDocument/2006/relationships" r:id="rId4"/>
          <a:extLst>
            <a:ext uri="{FF2B5EF4-FFF2-40B4-BE49-F238E27FC236}">
              <a16:creationId xmlns:a16="http://schemas.microsoft.com/office/drawing/2014/main" id="{45568E78-A1B7-49E3-BAAA-3E8DA97A5B5A}"/>
            </a:ext>
          </a:extLst>
        </xdr:cNvPr>
        <xdr:cNvSpPr/>
      </xdr:nvSpPr>
      <xdr:spPr>
        <a:xfrm>
          <a:off x="150918" y="2485212"/>
          <a:ext cx="1678130" cy="433429"/>
        </a:xfrm>
        <a:prstGeom prst="roundRect">
          <a:avLst/>
        </a:prstGeom>
        <a:no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cap="none" spc="0">
              <a:ln w="0">
                <a:solidFill>
                  <a:sysClr val="windowText" lastClr="000000"/>
                </a:solidFill>
              </a:ln>
              <a:solidFill>
                <a:schemeClr val="bg1"/>
              </a:solidFill>
              <a:effectLst>
                <a:outerShdw blurRad="38100" dist="19050" dir="2700000" algn="tl" rotWithShape="0">
                  <a:schemeClr val="dk1">
                    <a:alpha val="40000"/>
                  </a:schemeClr>
                </a:outerShdw>
              </a:effectLst>
            </a:rPr>
            <a:t>   PRODUCTS</a:t>
          </a:r>
        </a:p>
      </xdr:txBody>
    </xdr:sp>
    <xdr:clientData/>
  </xdr:twoCellAnchor>
  <xdr:twoCellAnchor>
    <xdr:from>
      <xdr:col>0</xdr:col>
      <xdr:colOff>142199</xdr:colOff>
      <xdr:row>16</xdr:row>
      <xdr:rowOff>167841</xdr:rowOff>
    </xdr:from>
    <xdr:to>
      <xdr:col>2</xdr:col>
      <xdr:colOff>598096</xdr:colOff>
      <xdr:row>19</xdr:row>
      <xdr:rowOff>52895</xdr:rowOff>
    </xdr:to>
    <xdr:sp macro="" textlink="">
      <xdr:nvSpPr>
        <xdr:cNvPr id="15" name="Rectangle: Rounded Corners 14">
          <a:extLst>
            <a:ext uri="{FF2B5EF4-FFF2-40B4-BE49-F238E27FC236}">
              <a16:creationId xmlns:a16="http://schemas.microsoft.com/office/drawing/2014/main" id="{A3CAF933-3ABA-4CBD-86E8-7BD93CBC6DB9}"/>
            </a:ext>
          </a:extLst>
        </xdr:cNvPr>
        <xdr:cNvSpPr/>
      </xdr:nvSpPr>
      <xdr:spPr>
        <a:xfrm>
          <a:off x="142199" y="3114241"/>
          <a:ext cx="1675097" cy="437504"/>
        </a:xfrm>
        <a:prstGeom prst="roundRect">
          <a:avLst/>
        </a:prstGeom>
        <a:solidFill>
          <a:schemeClr val="bg1"/>
        </a:solid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cap="none" spc="0">
              <a:ln w="0"/>
              <a:solidFill>
                <a:schemeClr val="bg1"/>
              </a:solidFill>
              <a:effectLst>
                <a:outerShdw blurRad="38100" dist="19050" dir="2700000" algn="tl" rotWithShape="0">
                  <a:schemeClr val="dk1">
                    <a:alpha val="40000"/>
                  </a:schemeClr>
                </a:outerShdw>
              </a:effectLst>
            </a:rPr>
            <a:t> </a:t>
          </a:r>
          <a:r>
            <a:rPr lang="en-IN" sz="2000" b="1" cap="none" spc="0">
              <a:ln w="0"/>
              <a:solidFill>
                <a:schemeClr val="tx1"/>
              </a:solidFill>
              <a:effectLst>
                <a:outerShdw blurRad="38100" dist="19050" dir="2700000" algn="tl" rotWithShape="0">
                  <a:schemeClr val="dk1">
                    <a:alpha val="40000"/>
                  </a:schemeClr>
                </a:outerShdw>
              </a:effectLst>
            </a:rPr>
            <a:t>SALES</a:t>
          </a:r>
          <a:r>
            <a:rPr lang="en-IN" sz="2000" b="1" cap="none" spc="0">
              <a:ln w="0"/>
              <a:solidFill>
                <a:schemeClr val="bg1"/>
              </a:solidFill>
              <a:effectLst>
                <a:outerShdw blurRad="38100" dist="19050" dir="2700000" algn="tl" rotWithShape="0">
                  <a:schemeClr val="dk1">
                    <a:alpha val="40000"/>
                  </a:schemeClr>
                </a:outerShdw>
              </a:effectLst>
            </a:rPr>
            <a:t> </a:t>
          </a:r>
          <a:r>
            <a:rPr lang="en-IN" sz="2000" b="1" cap="none" spc="0">
              <a:ln w="0"/>
              <a:solidFill>
                <a:schemeClr val="tx1"/>
              </a:solidFill>
              <a:effectLst>
                <a:outerShdw blurRad="38100" dist="19050" dir="2700000" algn="tl" rotWithShape="0">
                  <a:schemeClr val="dk1">
                    <a:alpha val="40000"/>
                  </a:schemeClr>
                </a:outerShdw>
              </a:effectLst>
            </a:rPr>
            <a:t>MANS</a:t>
          </a:r>
        </a:p>
      </xdr:txBody>
    </xdr:sp>
    <xdr:clientData/>
  </xdr:twoCellAnchor>
  <xdr:twoCellAnchor>
    <xdr:from>
      <xdr:col>4</xdr:col>
      <xdr:colOff>350428</xdr:colOff>
      <xdr:row>14</xdr:row>
      <xdr:rowOff>171204</xdr:rowOff>
    </xdr:from>
    <xdr:to>
      <xdr:col>7</xdr:col>
      <xdr:colOff>228313</xdr:colOff>
      <xdr:row>16</xdr:row>
      <xdr:rowOff>179345</xdr:rowOff>
    </xdr:to>
    <xdr:sp macro="" textlink="">
      <xdr:nvSpPr>
        <xdr:cNvPr id="17" name="Rectangle 16">
          <a:extLst>
            <a:ext uri="{FF2B5EF4-FFF2-40B4-BE49-F238E27FC236}">
              <a16:creationId xmlns:a16="http://schemas.microsoft.com/office/drawing/2014/main" id="{ECD832B3-6F15-49C6-AE04-5937C0ED2B31}"/>
            </a:ext>
          </a:extLst>
        </xdr:cNvPr>
        <xdr:cNvSpPr/>
      </xdr:nvSpPr>
      <xdr:spPr>
        <a:xfrm>
          <a:off x="2788828" y="2749304"/>
          <a:ext cx="1706685" cy="37644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600" b="1">
            <a:solidFill>
              <a:srgbClr val="7030A0"/>
            </a:solidFill>
          </a:endParaRPr>
        </a:p>
      </xdr:txBody>
    </xdr:sp>
    <xdr:clientData/>
  </xdr:twoCellAnchor>
  <xdr:twoCellAnchor>
    <xdr:from>
      <xdr:col>12</xdr:col>
      <xdr:colOff>540104</xdr:colOff>
      <xdr:row>11</xdr:row>
      <xdr:rowOff>163707</xdr:rowOff>
    </xdr:from>
    <xdr:to>
      <xdr:col>18</xdr:col>
      <xdr:colOff>211667</xdr:colOff>
      <xdr:row>14</xdr:row>
      <xdr:rowOff>26458</xdr:rowOff>
    </xdr:to>
    <xdr:sp macro="" textlink="">
      <xdr:nvSpPr>
        <xdr:cNvPr id="18" name="Rectangle: Rounded Corners 17">
          <a:extLst>
            <a:ext uri="{FF2B5EF4-FFF2-40B4-BE49-F238E27FC236}">
              <a16:creationId xmlns:a16="http://schemas.microsoft.com/office/drawing/2014/main" id="{71205BC8-F5C1-4A8D-BB52-A3E842589A7C}"/>
            </a:ext>
          </a:extLst>
        </xdr:cNvPr>
        <xdr:cNvSpPr/>
      </xdr:nvSpPr>
      <xdr:spPr>
        <a:xfrm>
          <a:off x="7855304" y="2189357"/>
          <a:ext cx="3329163" cy="415201"/>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tx1"/>
              </a:solidFill>
            </a:rPr>
            <a:t>TOP 3</a:t>
          </a:r>
          <a:r>
            <a:rPr lang="en-IN" sz="2000" b="1" baseline="0">
              <a:solidFill>
                <a:schemeClr val="tx1"/>
              </a:solidFill>
            </a:rPr>
            <a:t> SALES MANS</a:t>
          </a:r>
          <a:endParaRPr lang="en-IN" sz="2000" b="1">
            <a:solidFill>
              <a:schemeClr val="tx1"/>
            </a:solidFill>
          </a:endParaRPr>
        </a:p>
      </xdr:txBody>
    </xdr:sp>
    <xdr:clientData/>
  </xdr:twoCellAnchor>
  <xdr:twoCellAnchor>
    <xdr:from>
      <xdr:col>3</xdr:col>
      <xdr:colOff>397765</xdr:colOff>
      <xdr:row>14</xdr:row>
      <xdr:rowOff>6384</xdr:rowOff>
    </xdr:from>
    <xdr:to>
      <xdr:col>10</xdr:col>
      <xdr:colOff>515936</xdr:colOff>
      <xdr:row>16</xdr:row>
      <xdr:rowOff>183452</xdr:rowOff>
    </xdr:to>
    <xdr:sp macro="" textlink="">
      <xdr:nvSpPr>
        <xdr:cNvPr id="19" name="Rectangle: Rounded Corners 18">
          <a:extLst>
            <a:ext uri="{FF2B5EF4-FFF2-40B4-BE49-F238E27FC236}">
              <a16:creationId xmlns:a16="http://schemas.microsoft.com/office/drawing/2014/main" id="{68F7EF3C-2692-45C7-823D-B127836EC420}"/>
            </a:ext>
          </a:extLst>
        </xdr:cNvPr>
        <xdr:cNvSpPr/>
      </xdr:nvSpPr>
      <xdr:spPr>
        <a:xfrm>
          <a:off x="2226565" y="2584484"/>
          <a:ext cx="4385371" cy="545368"/>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tx1"/>
              </a:solidFill>
            </a:rPr>
            <a:t>SALES MANS</a:t>
          </a:r>
          <a:r>
            <a:rPr lang="en-IN" sz="2000" b="1" baseline="0">
              <a:solidFill>
                <a:schemeClr val="tx1"/>
              </a:solidFill>
            </a:rPr>
            <a:t> PERFORMANCE</a:t>
          </a:r>
          <a:endParaRPr lang="en-IN" sz="2000" b="1">
            <a:solidFill>
              <a:schemeClr val="tx1"/>
            </a:solidFill>
          </a:endParaRPr>
        </a:p>
      </xdr:txBody>
    </xdr:sp>
    <xdr:clientData/>
  </xdr:twoCellAnchor>
  <xdr:twoCellAnchor>
    <xdr:from>
      <xdr:col>12</xdr:col>
      <xdr:colOff>568534</xdr:colOff>
      <xdr:row>21</xdr:row>
      <xdr:rowOff>78411</xdr:rowOff>
    </xdr:from>
    <xdr:to>
      <xdr:col>20</xdr:col>
      <xdr:colOff>277813</xdr:colOff>
      <xdr:row>24</xdr:row>
      <xdr:rowOff>145521</xdr:rowOff>
    </xdr:to>
    <xdr:sp macro="" textlink="">
      <xdr:nvSpPr>
        <xdr:cNvPr id="20" name="Rectangle: Rounded Corners 19">
          <a:extLst>
            <a:ext uri="{FF2B5EF4-FFF2-40B4-BE49-F238E27FC236}">
              <a16:creationId xmlns:a16="http://schemas.microsoft.com/office/drawing/2014/main" id="{C815FD74-13D0-4A53-A203-D152AF048077}"/>
            </a:ext>
          </a:extLst>
        </xdr:cNvPr>
        <xdr:cNvSpPr/>
      </xdr:nvSpPr>
      <xdr:spPr>
        <a:xfrm>
          <a:off x="7883734" y="3945561"/>
          <a:ext cx="4586079" cy="61956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tx1"/>
              </a:solidFill>
            </a:rPr>
            <a:t>BOTOM</a:t>
          </a:r>
          <a:r>
            <a:rPr lang="en-IN" sz="2000" b="1" baseline="0">
              <a:solidFill>
                <a:schemeClr val="tx1"/>
              </a:solidFill>
            </a:rPr>
            <a:t> 3 SALES MANS</a:t>
          </a:r>
          <a:endParaRPr lang="en-IN" sz="2000" b="1">
            <a:solidFill>
              <a:schemeClr val="tx1"/>
            </a:solidFill>
          </a:endParaRPr>
        </a:p>
      </xdr:txBody>
    </xdr:sp>
    <xdr:clientData/>
  </xdr:twoCellAnchor>
  <xdr:twoCellAnchor>
    <xdr:from>
      <xdr:col>4</xdr:col>
      <xdr:colOff>366710</xdr:colOff>
      <xdr:row>17</xdr:row>
      <xdr:rowOff>163064</xdr:rowOff>
    </xdr:from>
    <xdr:to>
      <xdr:col>7</xdr:col>
      <xdr:colOff>244595</xdr:colOff>
      <xdr:row>19</xdr:row>
      <xdr:rowOff>171205</xdr:rowOff>
    </xdr:to>
    <xdr:sp macro="" textlink="">
      <xdr:nvSpPr>
        <xdr:cNvPr id="21" name="Rectangle 20">
          <a:extLst>
            <a:ext uri="{FF2B5EF4-FFF2-40B4-BE49-F238E27FC236}">
              <a16:creationId xmlns:a16="http://schemas.microsoft.com/office/drawing/2014/main" id="{8FBA5198-9649-4B48-BA29-1F151EFEA66A}"/>
            </a:ext>
          </a:extLst>
        </xdr:cNvPr>
        <xdr:cNvSpPr/>
      </xdr:nvSpPr>
      <xdr:spPr>
        <a:xfrm>
          <a:off x="2805110" y="3293614"/>
          <a:ext cx="1706685" cy="37644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600" b="1">
            <a:solidFill>
              <a:srgbClr val="7030A0"/>
            </a:solidFill>
          </a:endParaRPr>
        </a:p>
      </xdr:txBody>
    </xdr:sp>
    <xdr:clientData/>
  </xdr:twoCellAnchor>
  <xdr:twoCellAnchor>
    <xdr:from>
      <xdr:col>4</xdr:col>
      <xdr:colOff>401741</xdr:colOff>
      <xdr:row>17</xdr:row>
      <xdr:rowOff>55010</xdr:rowOff>
    </xdr:from>
    <xdr:to>
      <xdr:col>7</xdr:col>
      <xdr:colOff>279626</xdr:colOff>
      <xdr:row>19</xdr:row>
      <xdr:rowOff>63151</xdr:rowOff>
    </xdr:to>
    <xdr:sp macro="" textlink="">
      <xdr:nvSpPr>
        <xdr:cNvPr id="22" name="Rectangle 21">
          <a:extLst>
            <a:ext uri="{FF2B5EF4-FFF2-40B4-BE49-F238E27FC236}">
              <a16:creationId xmlns:a16="http://schemas.microsoft.com/office/drawing/2014/main" id="{3D97755D-2702-4A37-BFE8-06538C9FFD64}"/>
            </a:ext>
          </a:extLst>
        </xdr:cNvPr>
        <xdr:cNvSpPr/>
      </xdr:nvSpPr>
      <xdr:spPr>
        <a:xfrm>
          <a:off x="2840141" y="3185560"/>
          <a:ext cx="1706685" cy="37644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600" b="1">
            <a:solidFill>
              <a:srgbClr val="7030A0"/>
            </a:solidFill>
          </a:endParaRPr>
        </a:p>
      </xdr:txBody>
    </xdr:sp>
    <xdr:clientData/>
  </xdr:twoCellAnchor>
  <xdr:twoCellAnchor>
    <xdr:from>
      <xdr:col>4</xdr:col>
      <xdr:colOff>465882</xdr:colOff>
      <xdr:row>14</xdr:row>
      <xdr:rowOff>151222</xdr:rowOff>
    </xdr:from>
    <xdr:to>
      <xdr:col>7</xdr:col>
      <xdr:colOff>343767</xdr:colOff>
      <xdr:row>16</xdr:row>
      <xdr:rowOff>159362</xdr:rowOff>
    </xdr:to>
    <xdr:sp macro="" textlink="">
      <xdr:nvSpPr>
        <xdr:cNvPr id="23" name="Rectangle 22">
          <a:extLst>
            <a:ext uri="{FF2B5EF4-FFF2-40B4-BE49-F238E27FC236}">
              <a16:creationId xmlns:a16="http://schemas.microsoft.com/office/drawing/2014/main" id="{16D1F736-228D-4754-9B71-D17950BF0F48}"/>
            </a:ext>
          </a:extLst>
        </xdr:cNvPr>
        <xdr:cNvSpPr/>
      </xdr:nvSpPr>
      <xdr:spPr>
        <a:xfrm>
          <a:off x="2904282" y="2729322"/>
          <a:ext cx="1706685" cy="3764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600" b="1">
            <a:solidFill>
              <a:srgbClr val="7030A0"/>
            </a:solidFill>
          </a:endParaRPr>
        </a:p>
      </xdr:txBody>
    </xdr:sp>
    <xdr:clientData/>
  </xdr:twoCellAnchor>
  <xdr:twoCellAnchor>
    <xdr:from>
      <xdr:col>4</xdr:col>
      <xdr:colOff>472296</xdr:colOff>
      <xdr:row>16</xdr:row>
      <xdr:rowOff>157636</xdr:rowOff>
    </xdr:from>
    <xdr:to>
      <xdr:col>7</xdr:col>
      <xdr:colOff>350181</xdr:colOff>
      <xdr:row>18</xdr:row>
      <xdr:rowOff>165777</xdr:rowOff>
    </xdr:to>
    <xdr:sp macro="" textlink="">
      <xdr:nvSpPr>
        <xdr:cNvPr id="24" name="Rectangle 23">
          <a:extLst>
            <a:ext uri="{FF2B5EF4-FFF2-40B4-BE49-F238E27FC236}">
              <a16:creationId xmlns:a16="http://schemas.microsoft.com/office/drawing/2014/main" id="{7B04D15B-23A2-47BD-A8B5-7FBF8F293E06}"/>
            </a:ext>
          </a:extLst>
        </xdr:cNvPr>
        <xdr:cNvSpPr/>
      </xdr:nvSpPr>
      <xdr:spPr>
        <a:xfrm>
          <a:off x="2910696" y="3104036"/>
          <a:ext cx="1706685" cy="37644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600" b="1">
            <a:solidFill>
              <a:srgbClr val="7030A0"/>
            </a:solidFill>
          </a:endParaRPr>
        </a:p>
      </xdr:txBody>
    </xdr:sp>
    <xdr:clientData/>
  </xdr:twoCellAnchor>
  <xdr:twoCellAnchor>
    <xdr:from>
      <xdr:col>4</xdr:col>
      <xdr:colOff>491538</xdr:colOff>
      <xdr:row>17</xdr:row>
      <xdr:rowOff>48595</xdr:rowOff>
    </xdr:from>
    <xdr:to>
      <xdr:col>7</xdr:col>
      <xdr:colOff>369423</xdr:colOff>
      <xdr:row>19</xdr:row>
      <xdr:rowOff>56736</xdr:rowOff>
    </xdr:to>
    <xdr:sp macro="" textlink="">
      <xdr:nvSpPr>
        <xdr:cNvPr id="25" name="Rectangle 24">
          <a:extLst>
            <a:ext uri="{FF2B5EF4-FFF2-40B4-BE49-F238E27FC236}">
              <a16:creationId xmlns:a16="http://schemas.microsoft.com/office/drawing/2014/main" id="{74BE8521-7B41-4D3A-8291-1AD426365280}"/>
            </a:ext>
          </a:extLst>
        </xdr:cNvPr>
        <xdr:cNvSpPr/>
      </xdr:nvSpPr>
      <xdr:spPr>
        <a:xfrm>
          <a:off x="2929938" y="3179145"/>
          <a:ext cx="1706685" cy="37644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600" b="1">
            <a:solidFill>
              <a:srgbClr val="7030A0"/>
            </a:solidFill>
          </a:endParaRPr>
        </a:p>
      </xdr:txBody>
    </xdr:sp>
    <xdr:clientData/>
  </xdr:twoCellAnchor>
  <xdr:twoCellAnchor>
    <xdr:from>
      <xdr:col>9</xdr:col>
      <xdr:colOff>320390</xdr:colOff>
      <xdr:row>14</xdr:row>
      <xdr:rowOff>152248</xdr:rowOff>
    </xdr:from>
    <xdr:to>
      <xdr:col>12</xdr:col>
      <xdr:colOff>198274</xdr:colOff>
      <xdr:row>16</xdr:row>
      <xdr:rowOff>160389</xdr:rowOff>
    </xdr:to>
    <xdr:sp macro="" textlink="">
      <xdr:nvSpPr>
        <xdr:cNvPr id="26" name="Rectangle 25">
          <a:extLst>
            <a:ext uri="{FF2B5EF4-FFF2-40B4-BE49-F238E27FC236}">
              <a16:creationId xmlns:a16="http://schemas.microsoft.com/office/drawing/2014/main" id="{D3EEF8E5-9BBF-4949-B4D4-FB3D71601590}"/>
            </a:ext>
          </a:extLst>
        </xdr:cNvPr>
        <xdr:cNvSpPr/>
      </xdr:nvSpPr>
      <xdr:spPr>
        <a:xfrm>
          <a:off x="5806790" y="2730348"/>
          <a:ext cx="1706684" cy="37644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rgbClr val="FFC000"/>
              </a:solidFill>
            </a:rPr>
            <a:t>    </a:t>
          </a:r>
        </a:p>
      </xdr:txBody>
    </xdr:sp>
    <xdr:clientData/>
  </xdr:twoCellAnchor>
  <xdr:twoCellAnchor>
    <xdr:from>
      <xdr:col>5</xdr:col>
      <xdr:colOff>112793</xdr:colOff>
      <xdr:row>16</xdr:row>
      <xdr:rowOff>54556</xdr:rowOff>
    </xdr:from>
    <xdr:to>
      <xdr:col>7</xdr:col>
      <xdr:colOff>601255</xdr:colOff>
      <xdr:row>18</xdr:row>
      <xdr:rowOff>62697</xdr:rowOff>
    </xdr:to>
    <xdr:sp macro="" textlink="'SALES MENS'!$C$27">
      <xdr:nvSpPr>
        <xdr:cNvPr id="27" name="Rectangle 26">
          <a:extLst>
            <a:ext uri="{FF2B5EF4-FFF2-40B4-BE49-F238E27FC236}">
              <a16:creationId xmlns:a16="http://schemas.microsoft.com/office/drawing/2014/main" id="{92097DEB-0884-49E6-8075-4B8D05DFF5E2}"/>
            </a:ext>
          </a:extLst>
        </xdr:cNvPr>
        <xdr:cNvSpPr/>
      </xdr:nvSpPr>
      <xdr:spPr>
        <a:xfrm>
          <a:off x="3160793" y="3000956"/>
          <a:ext cx="1707662" cy="37644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C9ED80F7-E4AB-4B55-96D6-D04D37054DD0}" type="TxLink">
            <a:rPr lang="en-US" sz="1100" b="0" i="0" u="none" strike="noStrike">
              <a:solidFill>
                <a:srgbClr val="000000"/>
              </a:solidFill>
              <a:latin typeface="Calibri"/>
              <a:ea typeface="Calibri"/>
              <a:cs typeface="Calibri"/>
            </a:rPr>
            <a:pPr algn="l"/>
            <a:t> </a:t>
          </a:fld>
          <a:endParaRPr lang="en-US" sz="1600" b="1"/>
        </a:p>
      </xdr:txBody>
    </xdr:sp>
    <xdr:clientData/>
  </xdr:twoCellAnchor>
  <xdr:twoCellAnchor>
    <xdr:from>
      <xdr:col>9</xdr:col>
      <xdr:colOff>349585</xdr:colOff>
      <xdr:row>14</xdr:row>
      <xdr:rowOff>137651</xdr:rowOff>
    </xdr:from>
    <xdr:to>
      <xdr:col>12</xdr:col>
      <xdr:colOff>227469</xdr:colOff>
      <xdr:row>16</xdr:row>
      <xdr:rowOff>145792</xdr:rowOff>
    </xdr:to>
    <xdr:sp macro="" textlink="">
      <xdr:nvSpPr>
        <xdr:cNvPr id="28" name="Rectangle 27">
          <a:extLst>
            <a:ext uri="{FF2B5EF4-FFF2-40B4-BE49-F238E27FC236}">
              <a16:creationId xmlns:a16="http://schemas.microsoft.com/office/drawing/2014/main" id="{A0AF822B-6DD1-42D2-AD55-A9BE02993A7B}"/>
            </a:ext>
          </a:extLst>
        </xdr:cNvPr>
        <xdr:cNvSpPr/>
      </xdr:nvSpPr>
      <xdr:spPr>
        <a:xfrm>
          <a:off x="5835985" y="2715751"/>
          <a:ext cx="1706684" cy="37644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rgbClr val="FFC000"/>
              </a:solidFill>
            </a:rPr>
            <a:t>    </a:t>
          </a:r>
        </a:p>
      </xdr:txBody>
    </xdr:sp>
    <xdr:clientData/>
  </xdr:twoCellAnchor>
  <xdr:twoCellAnchor>
    <xdr:from>
      <xdr:col>4</xdr:col>
      <xdr:colOff>524758</xdr:colOff>
      <xdr:row>16</xdr:row>
      <xdr:rowOff>35467</xdr:rowOff>
    </xdr:from>
    <xdr:to>
      <xdr:col>7</xdr:col>
      <xdr:colOff>402642</xdr:colOff>
      <xdr:row>18</xdr:row>
      <xdr:rowOff>43607</xdr:rowOff>
    </xdr:to>
    <xdr:sp macro="" textlink="'SALES MENS'!$C$27">
      <xdr:nvSpPr>
        <xdr:cNvPr id="29" name="Rectangle 28">
          <a:extLst>
            <a:ext uri="{FF2B5EF4-FFF2-40B4-BE49-F238E27FC236}">
              <a16:creationId xmlns:a16="http://schemas.microsoft.com/office/drawing/2014/main" id="{538036B4-5E43-4B1D-9687-E9747E66FA28}"/>
            </a:ext>
          </a:extLst>
        </xdr:cNvPr>
        <xdr:cNvSpPr/>
      </xdr:nvSpPr>
      <xdr:spPr>
        <a:xfrm>
          <a:off x="2963158" y="2981867"/>
          <a:ext cx="1706684" cy="3764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5FF5957F-0A03-47F6-9538-68C14458AEC1}" type="TxLink">
            <a:rPr lang="en-US" sz="1100" b="0" i="0" u="none" strike="noStrike">
              <a:solidFill>
                <a:srgbClr val="000000"/>
              </a:solidFill>
              <a:latin typeface="Calibri"/>
              <a:ea typeface="Calibri"/>
              <a:cs typeface="Calibri"/>
            </a:rPr>
            <a:pPr algn="l"/>
            <a:t> </a:t>
          </a:fld>
          <a:endParaRPr lang="en-IN" sz="1600" b="1">
            <a:solidFill>
              <a:srgbClr val="FFC000"/>
            </a:solidFill>
          </a:endParaRPr>
        </a:p>
      </xdr:txBody>
    </xdr:sp>
    <xdr:clientData/>
  </xdr:twoCellAnchor>
  <xdr:twoCellAnchor>
    <xdr:from>
      <xdr:col>13</xdr:col>
      <xdr:colOff>134155</xdr:colOff>
      <xdr:row>23</xdr:row>
      <xdr:rowOff>89436</xdr:rowOff>
    </xdr:from>
    <xdr:to>
      <xdr:col>22</xdr:col>
      <xdr:colOff>107323</xdr:colOff>
      <xdr:row>32</xdr:row>
      <xdr:rowOff>8943</xdr:rowOff>
    </xdr:to>
    <xdr:graphicFrame macro="">
      <xdr:nvGraphicFramePr>
        <xdr:cNvPr id="30" name="Chart 29">
          <a:extLst>
            <a:ext uri="{FF2B5EF4-FFF2-40B4-BE49-F238E27FC236}">
              <a16:creationId xmlns:a16="http://schemas.microsoft.com/office/drawing/2014/main" id="{A53E89A2-3B06-4906-9838-96839896B6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134155</xdr:colOff>
      <xdr:row>14</xdr:row>
      <xdr:rowOff>17887</xdr:rowOff>
    </xdr:from>
    <xdr:to>
      <xdr:col>22</xdr:col>
      <xdr:colOff>62606</xdr:colOff>
      <xdr:row>20</xdr:row>
      <xdr:rowOff>143098</xdr:rowOff>
    </xdr:to>
    <xdr:graphicFrame macro="">
      <xdr:nvGraphicFramePr>
        <xdr:cNvPr id="31" name="Chart 30">
          <a:extLst>
            <a:ext uri="{FF2B5EF4-FFF2-40B4-BE49-F238E27FC236}">
              <a16:creationId xmlns:a16="http://schemas.microsoft.com/office/drawing/2014/main" id="{447DEE97-EBD1-4150-8A26-6A719F1602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510355</xdr:colOff>
      <xdr:row>16</xdr:row>
      <xdr:rowOff>147601</xdr:rowOff>
    </xdr:from>
    <xdr:to>
      <xdr:col>12</xdr:col>
      <xdr:colOff>223591</xdr:colOff>
      <xdr:row>31</xdr:row>
      <xdr:rowOff>73547</xdr:rowOff>
    </xdr:to>
    <xdr:graphicFrame macro="">
      <xdr:nvGraphicFramePr>
        <xdr:cNvPr id="32" name="Chart 31">
          <a:extLst>
            <a:ext uri="{FF2B5EF4-FFF2-40B4-BE49-F238E27FC236}">
              <a16:creationId xmlns:a16="http://schemas.microsoft.com/office/drawing/2014/main" id="{E48B662D-7726-4D43-83EB-973B9F4AE6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359833</xdr:colOff>
      <xdr:row>62</xdr:row>
      <xdr:rowOff>129309</xdr:rowOff>
    </xdr:from>
    <xdr:to>
      <xdr:col>13</xdr:col>
      <xdr:colOff>82743</xdr:colOff>
      <xdr:row>77</xdr:row>
      <xdr:rowOff>130464</xdr:rowOff>
    </xdr:to>
    <xdr:graphicFrame macro="">
      <xdr:nvGraphicFramePr>
        <xdr:cNvPr id="2" name="Chart 1">
          <a:extLst>
            <a:ext uri="{FF2B5EF4-FFF2-40B4-BE49-F238E27FC236}">
              <a16:creationId xmlns:a16="http://schemas.microsoft.com/office/drawing/2014/main" id="{29BA4854-8DCA-F895-FD94-DBB36A8305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26699</xdr:colOff>
      <xdr:row>5</xdr:row>
      <xdr:rowOff>31895</xdr:rowOff>
    </xdr:from>
    <xdr:to>
      <xdr:col>10</xdr:col>
      <xdr:colOff>355745</xdr:colOff>
      <xdr:row>19</xdr:row>
      <xdr:rowOff>148504</xdr:rowOff>
    </xdr:to>
    <xdr:graphicFrame macro="">
      <xdr:nvGraphicFramePr>
        <xdr:cNvPr id="4" name="Chart 3">
          <a:extLst>
            <a:ext uri="{FF2B5EF4-FFF2-40B4-BE49-F238E27FC236}">
              <a16:creationId xmlns:a16="http://schemas.microsoft.com/office/drawing/2014/main" id="{47DC80F2-86E6-36D4-14C6-1E5B89802B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94877</xdr:colOff>
      <xdr:row>2</xdr:row>
      <xdr:rowOff>2428</xdr:rowOff>
    </xdr:from>
    <xdr:to>
      <xdr:col>12</xdr:col>
      <xdr:colOff>343647</xdr:colOff>
      <xdr:row>16</xdr:row>
      <xdr:rowOff>170143</xdr:rowOff>
    </xdr:to>
    <xdr:graphicFrame macro="">
      <xdr:nvGraphicFramePr>
        <xdr:cNvPr id="2" name="Chart 1">
          <a:extLst>
            <a:ext uri="{FF2B5EF4-FFF2-40B4-BE49-F238E27FC236}">
              <a16:creationId xmlns:a16="http://schemas.microsoft.com/office/drawing/2014/main" id="{DC5AACDA-9349-3B9C-ADEC-6E06719AE8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254000</xdr:colOff>
      <xdr:row>3</xdr:row>
      <xdr:rowOff>123825</xdr:rowOff>
    </xdr:from>
    <xdr:to>
      <xdr:col>9</xdr:col>
      <xdr:colOff>292100</xdr:colOff>
      <xdr:row>12</xdr:row>
      <xdr:rowOff>133350</xdr:rowOff>
    </xdr:to>
    <xdr:graphicFrame macro="">
      <xdr:nvGraphicFramePr>
        <xdr:cNvPr id="2" name="Chart 1">
          <a:extLst>
            <a:ext uri="{FF2B5EF4-FFF2-40B4-BE49-F238E27FC236}">
              <a16:creationId xmlns:a16="http://schemas.microsoft.com/office/drawing/2014/main" id="{861D4236-B9BE-57F1-C4FB-FFE6DDDF9F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565149</xdr:colOff>
      <xdr:row>3</xdr:row>
      <xdr:rowOff>123825</xdr:rowOff>
    </xdr:from>
    <xdr:to>
      <xdr:col>10</xdr:col>
      <xdr:colOff>66674</xdr:colOff>
      <xdr:row>13</xdr:row>
      <xdr:rowOff>114300</xdr:rowOff>
    </xdr:to>
    <xdr:graphicFrame macro="">
      <xdr:nvGraphicFramePr>
        <xdr:cNvPr id="2" name="Chart 1">
          <a:extLst>
            <a:ext uri="{FF2B5EF4-FFF2-40B4-BE49-F238E27FC236}">
              <a16:creationId xmlns:a16="http://schemas.microsoft.com/office/drawing/2014/main" id="{8F8985BE-3ECB-1E51-C373-EF699BBCDB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5</xdr:col>
      <xdr:colOff>92075</xdr:colOff>
      <xdr:row>3</xdr:row>
      <xdr:rowOff>123825</xdr:rowOff>
    </xdr:from>
    <xdr:to>
      <xdr:col>12</xdr:col>
      <xdr:colOff>396875</xdr:colOff>
      <xdr:row>18</xdr:row>
      <xdr:rowOff>104775</xdr:rowOff>
    </xdr:to>
    <xdr:graphicFrame macro="">
      <xdr:nvGraphicFramePr>
        <xdr:cNvPr id="2" name="Chart 1">
          <a:extLst>
            <a:ext uri="{FF2B5EF4-FFF2-40B4-BE49-F238E27FC236}">
              <a16:creationId xmlns:a16="http://schemas.microsoft.com/office/drawing/2014/main" id="{A513AD75-664F-BA49-F10B-6F349A16DD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2</xdr:col>
      <xdr:colOff>254000</xdr:colOff>
      <xdr:row>3</xdr:row>
      <xdr:rowOff>123825</xdr:rowOff>
    </xdr:from>
    <xdr:to>
      <xdr:col>9</xdr:col>
      <xdr:colOff>558800</xdr:colOff>
      <xdr:row>18</xdr:row>
      <xdr:rowOff>104775</xdr:rowOff>
    </xdr:to>
    <xdr:graphicFrame macro="">
      <xdr:nvGraphicFramePr>
        <xdr:cNvPr id="2" name="Chart 1">
          <a:extLst>
            <a:ext uri="{FF2B5EF4-FFF2-40B4-BE49-F238E27FC236}">
              <a16:creationId xmlns:a16="http://schemas.microsoft.com/office/drawing/2014/main" id="{4B49B5E1-C946-0F1B-20B4-B9F7155E85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2</xdr:col>
      <xdr:colOff>254000</xdr:colOff>
      <xdr:row>3</xdr:row>
      <xdr:rowOff>123825</xdr:rowOff>
    </xdr:from>
    <xdr:to>
      <xdr:col>9</xdr:col>
      <xdr:colOff>558800</xdr:colOff>
      <xdr:row>18</xdr:row>
      <xdr:rowOff>104775</xdr:rowOff>
    </xdr:to>
    <xdr:graphicFrame macro="">
      <xdr:nvGraphicFramePr>
        <xdr:cNvPr id="2" name="Chart 1">
          <a:extLst>
            <a:ext uri="{FF2B5EF4-FFF2-40B4-BE49-F238E27FC236}">
              <a16:creationId xmlns:a16="http://schemas.microsoft.com/office/drawing/2014/main" id="{B1CC838E-83EA-E8E6-45ED-F3BC1E0C9C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xdr:col>
      <xdr:colOff>254000</xdr:colOff>
      <xdr:row>3</xdr:row>
      <xdr:rowOff>123825</xdr:rowOff>
    </xdr:from>
    <xdr:to>
      <xdr:col>9</xdr:col>
      <xdr:colOff>558800</xdr:colOff>
      <xdr:row>18</xdr:row>
      <xdr:rowOff>104775</xdr:rowOff>
    </xdr:to>
    <xdr:graphicFrame macro="">
      <xdr:nvGraphicFramePr>
        <xdr:cNvPr id="2" name="Chart 1">
          <a:extLst>
            <a:ext uri="{FF2B5EF4-FFF2-40B4-BE49-F238E27FC236}">
              <a16:creationId xmlns:a16="http://schemas.microsoft.com/office/drawing/2014/main" id="{22D2C238-A694-FE99-6EE6-1A4A184ED3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i krishna" refreshedDate="45804.859734837963" createdVersion="8" refreshedVersion="8" minRefreshableVersion="3" recordCount="279" xr:uid="{B897FAAF-0A62-421E-B825-9AD9BCEFF917}">
  <cacheSource type="worksheet">
    <worksheetSource ref="A1:G1048576" sheet="MASTER DATA"/>
  </cacheSource>
  <cacheFields count="9">
    <cacheField name="Date" numFmtId="0">
      <sharedItems containsNonDate="0" containsDate="1" containsString="0" containsBlank="1" minDate="2020-01-01T00:00:00" maxDate="2020-10-11T00:00:00" count="279">
        <d v="2020-01-01T00:00:00"/>
        <d v="2020-01-05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m/>
      </sharedItems>
      <fieldGroup par="8"/>
    </cacheField>
    <cacheField name="Sales Persons" numFmtId="0">
      <sharedItems containsBlank="1" count="7">
        <s v="Ramesh"/>
        <s v="Kiran"/>
        <s v="Gopi"/>
        <s v="Mahesh"/>
        <s v="Ganesh"/>
        <s v="Prathap"/>
        <m/>
      </sharedItems>
    </cacheField>
    <cacheField name="Products" numFmtId="0">
      <sharedItems containsBlank="1" count="7">
        <s v="Furniture"/>
        <s v="LED TV's"/>
        <s v="4K LED TV's"/>
        <s v="Mobiles"/>
        <s v="Laptops"/>
        <s v="Speakers"/>
        <m/>
      </sharedItems>
    </cacheField>
    <cacheField name="Place" numFmtId="0">
      <sharedItems containsBlank="1" count="7">
        <s v="Guntur"/>
        <s v="Vijayawada"/>
        <s v="Bapatla"/>
        <s v="Tenali"/>
        <s v="Chirala"/>
        <s v="Ongole"/>
        <m/>
      </sharedItems>
    </cacheField>
    <cacheField name="Price" numFmtId="0">
      <sharedItems containsString="0" containsBlank="1" containsNumber="1" containsInteger="1" minValue="89" maxValue="99620" count="64">
        <n v="499"/>
        <n v="5599"/>
        <n v="1450"/>
        <n v="85000"/>
        <n v="15000"/>
        <n v="2550"/>
        <n v="33000"/>
        <n v="86000"/>
        <n v="990"/>
        <n v="1999"/>
        <n v="63400"/>
        <n v="1499"/>
        <n v="120"/>
        <n v="11999"/>
        <n v="47500"/>
        <n v="2999"/>
        <n v="8900"/>
        <n v="22000"/>
        <n v="1250"/>
        <n v="999"/>
        <n v="23999"/>
        <n v="65200"/>
        <n v="699"/>
        <n v="800"/>
        <n v="18000"/>
        <n v="13999"/>
        <n v="89999"/>
        <n v="2900"/>
        <n v="590"/>
        <n v="52000"/>
        <n v="7999"/>
        <n v="550"/>
        <n v="79999"/>
        <n v="78500"/>
        <n v="3990"/>
        <n v="45000"/>
        <n v="450"/>
        <n v="65000"/>
        <n v="35600"/>
        <n v="44000"/>
        <n v="54100"/>
        <n v="59000"/>
        <n v="960"/>
        <n v="19500"/>
        <n v="700"/>
        <n v="200"/>
        <n v="49000"/>
        <n v="13500"/>
        <n v="75200"/>
        <n v="100"/>
        <n v="47800"/>
        <n v="92000"/>
        <n v="12000"/>
        <n v="5000"/>
        <n v="799"/>
        <n v="14500"/>
        <n v="89"/>
        <n v="25600"/>
        <n v="99620"/>
        <n v="49500"/>
        <n v="2500"/>
        <n v="86540"/>
        <n v="65400"/>
        <m/>
      </sharedItems>
    </cacheField>
    <cacheField name="Units" numFmtId="0">
      <sharedItems containsString="0" containsBlank="1" containsNumber="1" containsInteger="1" minValue="4" maxValue="100"/>
    </cacheField>
    <cacheField name="Amount" numFmtId="0">
      <sharedItems containsString="0" containsBlank="1" containsNumber="1" containsInteger="1" minValue="720" maxValue="4250000"/>
    </cacheField>
    <cacheField name="Days (Date)" numFmtId="0" databaseField="0">
      <fieldGroup base="0">
        <rangePr groupBy="days" startDate="2020-01-01T00:00:00" endDate="2020-10-11T00:00:00"/>
        <groupItems count="368">
          <s v="&lt;01-01-2020"/>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1-10-2020"/>
        </groupItems>
      </fieldGroup>
    </cacheField>
    <cacheField name="Months (Date)" numFmtId="0" databaseField="0">
      <fieldGroup base="0">
        <rangePr groupBy="months" startDate="2020-01-01T00:00:00" endDate="2020-10-11T00:00:00"/>
        <groupItems count="14">
          <s v="&lt;01-01-2020"/>
          <s v="Jan"/>
          <s v="Feb"/>
          <s v="Mar"/>
          <s v="Apr"/>
          <s v="May"/>
          <s v="Jun"/>
          <s v="Jul"/>
          <s v="Aug"/>
          <s v="Sep"/>
          <s v="Oct"/>
          <s v="Nov"/>
          <s v="Dec"/>
          <s v="&gt;11-10-2020"/>
        </groupItems>
      </fieldGroup>
    </cacheField>
  </cacheFields>
  <extLst>
    <ext xmlns:x14="http://schemas.microsoft.com/office/spreadsheetml/2009/9/main" uri="{725AE2AE-9491-48be-B2B4-4EB974FC3084}">
      <x14:pivotCacheDefinition pivotCacheId="9293725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9">
  <r>
    <x v="0"/>
    <x v="0"/>
    <x v="0"/>
    <x v="0"/>
    <x v="0"/>
    <n v="50"/>
    <n v="24950"/>
  </r>
  <r>
    <x v="1"/>
    <x v="1"/>
    <x v="0"/>
    <x v="1"/>
    <x v="1"/>
    <n v="33"/>
    <n v="184767"/>
  </r>
  <r>
    <x v="2"/>
    <x v="2"/>
    <x v="1"/>
    <x v="2"/>
    <x v="2"/>
    <n v="44"/>
    <n v="63800"/>
  </r>
  <r>
    <x v="3"/>
    <x v="3"/>
    <x v="2"/>
    <x v="0"/>
    <x v="3"/>
    <n v="50"/>
    <n v="4250000"/>
  </r>
  <r>
    <x v="4"/>
    <x v="3"/>
    <x v="3"/>
    <x v="3"/>
    <x v="4"/>
    <n v="11"/>
    <n v="165000"/>
  </r>
  <r>
    <x v="5"/>
    <x v="1"/>
    <x v="0"/>
    <x v="3"/>
    <x v="5"/>
    <n v="48"/>
    <n v="122400"/>
  </r>
  <r>
    <x v="6"/>
    <x v="4"/>
    <x v="4"/>
    <x v="2"/>
    <x v="6"/>
    <n v="26"/>
    <n v="858000"/>
  </r>
  <r>
    <x v="7"/>
    <x v="0"/>
    <x v="2"/>
    <x v="4"/>
    <x v="7"/>
    <n v="39"/>
    <n v="3354000"/>
  </r>
  <r>
    <x v="8"/>
    <x v="2"/>
    <x v="5"/>
    <x v="3"/>
    <x v="8"/>
    <n v="9"/>
    <n v="8910"/>
  </r>
  <r>
    <x v="9"/>
    <x v="0"/>
    <x v="0"/>
    <x v="0"/>
    <x v="1"/>
    <n v="41"/>
    <n v="229559"/>
  </r>
  <r>
    <x v="10"/>
    <x v="4"/>
    <x v="4"/>
    <x v="2"/>
    <x v="0"/>
    <n v="39"/>
    <n v="19461"/>
  </r>
  <r>
    <x v="11"/>
    <x v="1"/>
    <x v="5"/>
    <x v="0"/>
    <x v="9"/>
    <n v="4"/>
    <n v="7996"/>
  </r>
  <r>
    <x v="12"/>
    <x v="3"/>
    <x v="2"/>
    <x v="0"/>
    <x v="10"/>
    <n v="8"/>
    <n v="507200"/>
  </r>
  <r>
    <x v="13"/>
    <x v="5"/>
    <x v="5"/>
    <x v="3"/>
    <x v="11"/>
    <n v="27"/>
    <n v="40473"/>
  </r>
  <r>
    <x v="14"/>
    <x v="3"/>
    <x v="3"/>
    <x v="2"/>
    <x v="12"/>
    <n v="10"/>
    <n v="1200"/>
  </r>
  <r>
    <x v="15"/>
    <x v="1"/>
    <x v="4"/>
    <x v="4"/>
    <x v="13"/>
    <n v="17"/>
    <n v="203983"/>
  </r>
  <r>
    <x v="16"/>
    <x v="2"/>
    <x v="2"/>
    <x v="1"/>
    <x v="14"/>
    <n v="27"/>
    <n v="1282500"/>
  </r>
  <r>
    <x v="17"/>
    <x v="4"/>
    <x v="4"/>
    <x v="1"/>
    <x v="15"/>
    <n v="43"/>
    <n v="128957"/>
  </r>
  <r>
    <x v="18"/>
    <x v="3"/>
    <x v="3"/>
    <x v="1"/>
    <x v="16"/>
    <n v="9"/>
    <n v="80100"/>
  </r>
  <r>
    <x v="19"/>
    <x v="1"/>
    <x v="4"/>
    <x v="0"/>
    <x v="17"/>
    <n v="42"/>
    <n v="924000"/>
  </r>
  <r>
    <x v="20"/>
    <x v="2"/>
    <x v="1"/>
    <x v="1"/>
    <x v="18"/>
    <n v="6"/>
    <n v="7500"/>
  </r>
  <r>
    <x v="21"/>
    <x v="3"/>
    <x v="3"/>
    <x v="3"/>
    <x v="19"/>
    <n v="28"/>
    <n v="27972"/>
  </r>
  <r>
    <x v="22"/>
    <x v="4"/>
    <x v="1"/>
    <x v="4"/>
    <x v="2"/>
    <n v="13"/>
    <n v="18850"/>
  </r>
  <r>
    <x v="23"/>
    <x v="4"/>
    <x v="1"/>
    <x v="2"/>
    <x v="20"/>
    <n v="8"/>
    <n v="191992"/>
  </r>
  <r>
    <x v="24"/>
    <x v="1"/>
    <x v="2"/>
    <x v="4"/>
    <x v="21"/>
    <n v="7"/>
    <n v="456400"/>
  </r>
  <r>
    <x v="25"/>
    <x v="1"/>
    <x v="5"/>
    <x v="1"/>
    <x v="22"/>
    <n v="45"/>
    <n v="31455"/>
  </r>
  <r>
    <x v="26"/>
    <x v="0"/>
    <x v="0"/>
    <x v="0"/>
    <x v="5"/>
    <n v="22"/>
    <n v="56100"/>
  </r>
  <r>
    <x v="27"/>
    <x v="2"/>
    <x v="4"/>
    <x v="4"/>
    <x v="17"/>
    <n v="4"/>
    <n v="88000"/>
  </r>
  <r>
    <x v="28"/>
    <x v="4"/>
    <x v="2"/>
    <x v="0"/>
    <x v="17"/>
    <n v="10"/>
    <n v="220000"/>
  </r>
  <r>
    <x v="29"/>
    <x v="5"/>
    <x v="5"/>
    <x v="3"/>
    <x v="11"/>
    <n v="16"/>
    <n v="23984"/>
  </r>
  <r>
    <x v="30"/>
    <x v="1"/>
    <x v="3"/>
    <x v="4"/>
    <x v="12"/>
    <n v="22"/>
    <n v="2640"/>
  </r>
  <r>
    <x v="31"/>
    <x v="0"/>
    <x v="0"/>
    <x v="2"/>
    <x v="2"/>
    <n v="20"/>
    <n v="29000"/>
  </r>
  <r>
    <x v="32"/>
    <x v="5"/>
    <x v="5"/>
    <x v="3"/>
    <x v="9"/>
    <n v="23"/>
    <n v="45977"/>
  </r>
  <r>
    <x v="33"/>
    <x v="1"/>
    <x v="0"/>
    <x v="0"/>
    <x v="23"/>
    <n v="43"/>
    <n v="34400"/>
  </r>
  <r>
    <x v="34"/>
    <x v="2"/>
    <x v="3"/>
    <x v="3"/>
    <x v="24"/>
    <n v="41"/>
    <n v="738000"/>
  </r>
  <r>
    <x v="35"/>
    <x v="0"/>
    <x v="0"/>
    <x v="1"/>
    <x v="25"/>
    <n v="37"/>
    <n v="517963"/>
  </r>
  <r>
    <x v="36"/>
    <x v="1"/>
    <x v="4"/>
    <x v="3"/>
    <x v="17"/>
    <n v="45"/>
    <n v="990000"/>
  </r>
  <r>
    <x v="37"/>
    <x v="4"/>
    <x v="2"/>
    <x v="0"/>
    <x v="26"/>
    <n v="15"/>
    <n v="1349985"/>
  </r>
  <r>
    <x v="38"/>
    <x v="0"/>
    <x v="0"/>
    <x v="2"/>
    <x v="25"/>
    <n v="22"/>
    <n v="307978"/>
  </r>
  <r>
    <x v="39"/>
    <x v="2"/>
    <x v="5"/>
    <x v="1"/>
    <x v="27"/>
    <n v="20"/>
    <n v="58000"/>
  </r>
  <r>
    <x v="40"/>
    <x v="1"/>
    <x v="4"/>
    <x v="3"/>
    <x v="6"/>
    <n v="16"/>
    <n v="528000"/>
  </r>
  <r>
    <x v="41"/>
    <x v="2"/>
    <x v="4"/>
    <x v="1"/>
    <x v="17"/>
    <n v="17"/>
    <n v="374000"/>
  </r>
  <r>
    <x v="42"/>
    <x v="5"/>
    <x v="5"/>
    <x v="1"/>
    <x v="22"/>
    <n v="50"/>
    <n v="34950"/>
  </r>
  <r>
    <x v="43"/>
    <x v="4"/>
    <x v="4"/>
    <x v="2"/>
    <x v="0"/>
    <n v="4"/>
    <n v="1996"/>
  </r>
  <r>
    <x v="44"/>
    <x v="1"/>
    <x v="5"/>
    <x v="3"/>
    <x v="28"/>
    <n v="43"/>
    <n v="25370"/>
  </r>
  <r>
    <x v="45"/>
    <x v="5"/>
    <x v="5"/>
    <x v="1"/>
    <x v="28"/>
    <n v="42"/>
    <n v="24780"/>
  </r>
  <r>
    <x v="46"/>
    <x v="1"/>
    <x v="2"/>
    <x v="0"/>
    <x v="12"/>
    <n v="9"/>
    <n v="1080"/>
  </r>
  <r>
    <x v="47"/>
    <x v="4"/>
    <x v="4"/>
    <x v="4"/>
    <x v="29"/>
    <n v="40"/>
    <n v="2080000"/>
  </r>
  <r>
    <x v="48"/>
    <x v="2"/>
    <x v="1"/>
    <x v="3"/>
    <x v="30"/>
    <n v="14"/>
    <n v="111986"/>
  </r>
  <r>
    <x v="49"/>
    <x v="1"/>
    <x v="1"/>
    <x v="4"/>
    <x v="31"/>
    <n v="9"/>
    <n v="4950"/>
  </r>
  <r>
    <x v="50"/>
    <x v="2"/>
    <x v="2"/>
    <x v="3"/>
    <x v="32"/>
    <n v="10"/>
    <n v="799990"/>
  </r>
  <r>
    <x v="51"/>
    <x v="5"/>
    <x v="5"/>
    <x v="3"/>
    <x v="9"/>
    <n v="37"/>
    <n v="73963"/>
  </r>
  <r>
    <x v="52"/>
    <x v="4"/>
    <x v="4"/>
    <x v="2"/>
    <x v="26"/>
    <n v="29"/>
    <n v="2609971"/>
  </r>
  <r>
    <x v="53"/>
    <x v="1"/>
    <x v="2"/>
    <x v="3"/>
    <x v="33"/>
    <n v="44"/>
    <n v="3454000"/>
  </r>
  <r>
    <x v="54"/>
    <x v="4"/>
    <x v="4"/>
    <x v="1"/>
    <x v="34"/>
    <n v="31"/>
    <n v="123690"/>
  </r>
  <r>
    <x v="55"/>
    <x v="2"/>
    <x v="4"/>
    <x v="3"/>
    <x v="29"/>
    <n v="29"/>
    <n v="1508000"/>
  </r>
  <r>
    <x v="56"/>
    <x v="0"/>
    <x v="2"/>
    <x v="3"/>
    <x v="25"/>
    <n v="34"/>
    <n v="475966"/>
  </r>
  <r>
    <x v="57"/>
    <x v="1"/>
    <x v="3"/>
    <x v="1"/>
    <x v="12"/>
    <n v="29"/>
    <n v="3480"/>
  </r>
  <r>
    <x v="58"/>
    <x v="4"/>
    <x v="1"/>
    <x v="1"/>
    <x v="20"/>
    <n v="25"/>
    <n v="599975"/>
  </r>
  <r>
    <x v="59"/>
    <x v="4"/>
    <x v="2"/>
    <x v="3"/>
    <x v="35"/>
    <n v="31"/>
    <n v="1395000"/>
  </r>
  <r>
    <x v="60"/>
    <x v="1"/>
    <x v="5"/>
    <x v="1"/>
    <x v="36"/>
    <n v="16"/>
    <n v="7200"/>
  </r>
  <r>
    <x v="61"/>
    <x v="3"/>
    <x v="3"/>
    <x v="3"/>
    <x v="37"/>
    <n v="48"/>
    <n v="3120000"/>
  </r>
  <r>
    <x v="62"/>
    <x v="2"/>
    <x v="2"/>
    <x v="4"/>
    <x v="38"/>
    <n v="22"/>
    <n v="783200"/>
  </r>
  <r>
    <x v="63"/>
    <x v="5"/>
    <x v="5"/>
    <x v="2"/>
    <x v="22"/>
    <n v="6"/>
    <n v="4194"/>
  </r>
  <r>
    <x v="64"/>
    <x v="1"/>
    <x v="5"/>
    <x v="1"/>
    <x v="8"/>
    <n v="12"/>
    <n v="11880"/>
  </r>
  <r>
    <x v="65"/>
    <x v="5"/>
    <x v="2"/>
    <x v="0"/>
    <x v="36"/>
    <n v="44"/>
    <n v="19800"/>
  </r>
  <r>
    <x v="66"/>
    <x v="5"/>
    <x v="5"/>
    <x v="2"/>
    <x v="11"/>
    <n v="15"/>
    <n v="22485"/>
  </r>
  <r>
    <x v="67"/>
    <x v="0"/>
    <x v="0"/>
    <x v="4"/>
    <x v="0"/>
    <n v="26"/>
    <n v="12974"/>
  </r>
  <r>
    <x v="68"/>
    <x v="2"/>
    <x v="2"/>
    <x v="4"/>
    <x v="39"/>
    <n v="16"/>
    <n v="704000"/>
  </r>
  <r>
    <x v="69"/>
    <x v="0"/>
    <x v="0"/>
    <x v="3"/>
    <x v="1"/>
    <n v="35"/>
    <n v="195965"/>
  </r>
  <r>
    <x v="70"/>
    <x v="3"/>
    <x v="2"/>
    <x v="0"/>
    <x v="40"/>
    <n v="36"/>
    <n v="1947600"/>
  </r>
  <r>
    <x v="71"/>
    <x v="0"/>
    <x v="0"/>
    <x v="2"/>
    <x v="5"/>
    <n v="20"/>
    <n v="51000"/>
  </r>
  <r>
    <x v="72"/>
    <x v="1"/>
    <x v="2"/>
    <x v="2"/>
    <x v="2"/>
    <n v="47"/>
    <n v="68150"/>
  </r>
  <r>
    <x v="73"/>
    <x v="5"/>
    <x v="5"/>
    <x v="3"/>
    <x v="27"/>
    <n v="6"/>
    <n v="17400"/>
  </r>
  <r>
    <x v="74"/>
    <x v="3"/>
    <x v="2"/>
    <x v="4"/>
    <x v="21"/>
    <n v="6"/>
    <n v="391200"/>
  </r>
  <r>
    <x v="75"/>
    <x v="1"/>
    <x v="4"/>
    <x v="4"/>
    <x v="29"/>
    <n v="41"/>
    <n v="2132000"/>
  </r>
  <r>
    <x v="76"/>
    <x v="2"/>
    <x v="2"/>
    <x v="1"/>
    <x v="41"/>
    <n v="29"/>
    <n v="1711000"/>
  </r>
  <r>
    <x v="77"/>
    <x v="4"/>
    <x v="1"/>
    <x v="4"/>
    <x v="30"/>
    <n v="31"/>
    <n v="247969"/>
  </r>
  <r>
    <x v="78"/>
    <x v="1"/>
    <x v="3"/>
    <x v="1"/>
    <x v="35"/>
    <n v="34"/>
    <n v="1530000"/>
  </r>
  <r>
    <x v="79"/>
    <x v="5"/>
    <x v="5"/>
    <x v="0"/>
    <x v="8"/>
    <n v="43"/>
    <n v="42570"/>
  </r>
  <r>
    <x v="80"/>
    <x v="4"/>
    <x v="4"/>
    <x v="0"/>
    <x v="13"/>
    <n v="37"/>
    <n v="443963"/>
  </r>
  <r>
    <x v="81"/>
    <x v="4"/>
    <x v="1"/>
    <x v="0"/>
    <x v="42"/>
    <n v="7"/>
    <n v="6720"/>
  </r>
  <r>
    <x v="82"/>
    <x v="1"/>
    <x v="0"/>
    <x v="2"/>
    <x v="2"/>
    <n v="19"/>
    <n v="27550"/>
  </r>
  <r>
    <x v="83"/>
    <x v="2"/>
    <x v="2"/>
    <x v="1"/>
    <x v="35"/>
    <n v="47"/>
    <n v="2115000"/>
  </r>
  <r>
    <x v="84"/>
    <x v="1"/>
    <x v="5"/>
    <x v="1"/>
    <x v="11"/>
    <n v="37"/>
    <n v="55463"/>
  </r>
  <r>
    <x v="85"/>
    <x v="4"/>
    <x v="4"/>
    <x v="2"/>
    <x v="32"/>
    <n v="4"/>
    <n v="319996"/>
  </r>
  <r>
    <x v="86"/>
    <x v="3"/>
    <x v="2"/>
    <x v="4"/>
    <x v="19"/>
    <n v="45"/>
    <n v="44955"/>
  </r>
  <r>
    <x v="87"/>
    <x v="1"/>
    <x v="4"/>
    <x v="0"/>
    <x v="29"/>
    <n v="15"/>
    <n v="780000"/>
  </r>
  <r>
    <x v="88"/>
    <x v="2"/>
    <x v="2"/>
    <x v="3"/>
    <x v="29"/>
    <n v="39"/>
    <n v="2028000"/>
  </r>
  <r>
    <x v="89"/>
    <x v="4"/>
    <x v="1"/>
    <x v="2"/>
    <x v="42"/>
    <n v="33"/>
    <n v="31680"/>
  </r>
  <r>
    <x v="90"/>
    <x v="4"/>
    <x v="2"/>
    <x v="3"/>
    <x v="43"/>
    <n v="45"/>
    <n v="877500"/>
  </r>
  <r>
    <x v="91"/>
    <x v="4"/>
    <x v="4"/>
    <x v="3"/>
    <x v="15"/>
    <n v="33"/>
    <n v="98967"/>
  </r>
  <r>
    <x v="92"/>
    <x v="1"/>
    <x v="1"/>
    <x v="4"/>
    <x v="18"/>
    <n v="14"/>
    <n v="17500"/>
  </r>
  <r>
    <x v="93"/>
    <x v="1"/>
    <x v="3"/>
    <x v="0"/>
    <x v="12"/>
    <n v="41"/>
    <n v="4920"/>
  </r>
  <r>
    <x v="94"/>
    <x v="2"/>
    <x v="0"/>
    <x v="3"/>
    <x v="2"/>
    <n v="22"/>
    <n v="31900"/>
  </r>
  <r>
    <x v="95"/>
    <x v="4"/>
    <x v="4"/>
    <x v="0"/>
    <x v="26"/>
    <n v="15"/>
    <n v="1349985"/>
  </r>
  <r>
    <x v="96"/>
    <x v="5"/>
    <x v="2"/>
    <x v="2"/>
    <x v="9"/>
    <n v="48"/>
    <n v="95952"/>
  </r>
  <r>
    <x v="97"/>
    <x v="5"/>
    <x v="5"/>
    <x v="3"/>
    <x v="27"/>
    <n v="49"/>
    <n v="142100"/>
  </r>
  <r>
    <x v="98"/>
    <x v="4"/>
    <x v="4"/>
    <x v="4"/>
    <x v="44"/>
    <n v="50"/>
    <n v="35000"/>
  </r>
  <r>
    <x v="99"/>
    <x v="3"/>
    <x v="3"/>
    <x v="3"/>
    <x v="45"/>
    <n v="41"/>
    <n v="8200"/>
  </r>
  <r>
    <x v="100"/>
    <x v="2"/>
    <x v="2"/>
    <x v="1"/>
    <x v="46"/>
    <n v="29"/>
    <n v="1421000"/>
  </r>
  <r>
    <x v="101"/>
    <x v="0"/>
    <x v="0"/>
    <x v="4"/>
    <x v="1"/>
    <n v="36"/>
    <n v="201564"/>
  </r>
  <r>
    <x v="102"/>
    <x v="3"/>
    <x v="3"/>
    <x v="3"/>
    <x v="47"/>
    <n v="39"/>
    <n v="526500"/>
  </r>
  <r>
    <x v="103"/>
    <x v="2"/>
    <x v="4"/>
    <x v="3"/>
    <x v="32"/>
    <n v="9"/>
    <n v="719991"/>
  </r>
  <r>
    <x v="104"/>
    <x v="4"/>
    <x v="2"/>
    <x v="2"/>
    <x v="48"/>
    <n v="38"/>
    <n v="2857600"/>
  </r>
  <r>
    <x v="105"/>
    <x v="4"/>
    <x v="1"/>
    <x v="0"/>
    <x v="31"/>
    <n v="25"/>
    <n v="13750"/>
  </r>
  <r>
    <x v="106"/>
    <x v="0"/>
    <x v="0"/>
    <x v="0"/>
    <x v="0"/>
    <n v="50"/>
    <n v="24950"/>
  </r>
  <r>
    <x v="107"/>
    <x v="0"/>
    <x v="0"/>
    <x v="1"/>
    <x v="1"/>
    <n v="33"/>
    <n v="184767"/>
  </r>
  <r>
    <x v="108"/>
    <x v="2"/>
    <x v="1"/>
    <x v="2"/>
    <x v="2"/>
    <n v="44"/>
    <n v="63800"/>
  </r>
  <r>
    <x v="109"/>
    <x v="3"/>
    <x v="3"/>
    <x v="0"/>
    <x v="19"/>
    <n v="31"/>
    <n v="30969"/>
  </r>
  <r>
    <x v="110"/>
    <x v="3"/>
    <x v="3"/>
    <x v="3"/>
    <x v="49"/>
    <n v="11"/>
    <n v="1100"/>
  </r>
  <r>
    <x v="111"/>
    <x v="2"/>
    <x v="0"/>
    <x v="3"/>
    <x v="5"/>
    <n v="48"/>
    <n v="122400"/>
  </r>
  <r>
    <x v="112"/>
    <x v="4"/>
    <x v="4"/>
    <x v="3"/>
    <x v="6"/>
    <n v="26"/>
    <n v="858000"/>
  </r>
  <r>
    <x v="113"/>
    <x v="1"/>
    <x v="0"/>
    <x v="2"/>
    <x v="23"/>
    <n v="39"/>
    <n v="31200"/>
  </r>
  <r>
    <x v="114"/>
    <x v="5"/>
    <x v="5"/>
    <x v="2"/>
    <x v="8"/>
    <n v="9"/>
    <n v="8910"/>
  </r>
  <r>
    <x v="115"/>
    <x v="0"/>
    <x v="0"/>
    <x v="0"/>
    <x v="1"/>
    <n v="41"/>
    <n v="229559"/>
  </r>
  <r>
    <x v="116"/>
    <x v="4"/>
    <x v="4"/>
    <x v="0"/>
    <x v="0"/>
    <n v="39"/>
    <n v="19461"/>
  </r>
  <r>
    <x v="117"/>
    <x v="5"/>
    <x v="5"/>
    <x v="0"/>
    <x v="9"/>
    <n v="4"/>
    <n v="7996"/>
  </r>
  <r>
    <x v="118"/>
    <x v="2"/>
    <x v="3"/>
    <x v="0"/>
    <x v="45"/>
    <n v="8"/>
    <n v="1600"/>
  </r>
  <r>
    <x v="119"/>
    <x v="5"/>
    <x v="5"/>
    <x v="2"/>
    <x v="11"/>
    <n v="27"/>
    <n v="40473"/>
  </r>
  <r>
    <x v="120"/>
    <x v="3"/>
    <x v="3"/>
    <x v="4"/>
    <x v="12"/>
    <n v="10"/>
    <n v="1200"/>
  </r>
  <r>
    <x v="121"/>
    <x v="1"/>
    <x v="4"/>
    <x v="4"/>
    <x v="13"/>
    <n v="17"/>
    <n v="203983"/>
  </r>
  <r>
    <x v="122"/>
    <x v="1"/>
    <x v="4"/>
    <x v="1"/>
    <x v="19"/>
    <n v="27"/>
    <n v="26973"/>
  </r>
  <r>
    <x v="123"/>
    <x v="2"/>
    <x v="4"/>
    <x v="2"/>
    <x v="15"/>
    <n v="43"/>
    <n v="128957"/>
  </r>
  <r>
    <x v="124"/>
    <x v="3"/>
    <x v="2"/>
    <x v="1"/>
    <x v="50"/>
    <n v="9"/>
    <n v="430200"/>
  </r>
  <r>
    <x v="125"/>
    <x v="4"/>
    <x v="2"/>
    <x v="0"/>
    <x v="17"/>
    <n v="42"/>
    <n v="924000"/>
  </r>
  <r>
    <x v="126"/>
    <x v="4"/>
    <x v="1"/>
    <x v="1"/>
    <x v="18"/>
    <n v="6"/>
    <n v="7500"/>
  </r>
  <r>
    <x v="127"/>
    <x v="3"/>
    <x v="3"/>
    <x v="2"/>
    <x v="19"/>
    <n v="28"/>
    <n v="27972"/>
  </r>
  <r>
    <x v="128"/>
    <x v="4"/>
    <x v="1"/>
    <x v="4"/>
    <x v="2"/>
    <n v="13"/>
    <n v="18850"/>
  </r>
  <r>
    <x v="129"/>
    <x v="4"/>
    <x v="1"/>
    <x v="4"/>
    <x v="20"/>
    <n v="8"/>
    <n v="191992"/>
  </r>
  <r>
    <x v="130"/>
    <x v="1"/>
    <x v="2"/>
    <x v="4"/>
    <x v="51"/>
    <n v="7"/>
    <n v="644000"/>
  </r>
  <r>
    <x v="131"/>
    <x v="5"/>
    <x v="5"/>
    <x v="2"/>
    <x v="22"/>
    <n v="45"/>
    <n v="31455"/>
  </r>
  <r>
    <x v="132"/>
    <x v="0"/>
    <x v="0"/>
    <x v="0"/>
    <x v="5"/>
    <n v="22"/>
    <n v="56100"/>
  </r>
  <r>
    <x v="133"/>
    <x v="2"/>
    <x v="4"/>
    <x v="4"/>
    <x v="17"/>
    <n v="4"/>
    <n v="88000"/>
  </r>
  <r>
    <x v="134"/>
    <x v="4"/>
    <x v="4"/>
    <x v="0"/>
    <x v="17"/>
    <n v="10"/>
    <n v="220000"/>
  </r>
  <r>
    <x v="135"/>
    <x v="1"/>
    <x v="5"/>
    <x v="2"/>
    <x v="11"/>
    <n v="16"/>
    <n v="23984"/>
  </r>
  <r>
    <x v="136"/>
    <x v="3"/>
    <x v="3"/>
    <x v="4"/>
    <x v="12"/>
    <n v="22"/>
    <n v="2640"/>
  </r>
  <r>
    <x v="137"/>
    <x v="0"/>
    <x v="0"/>
    <x v="1"/>
    <x v="2"/>
    <n v="20"/>
    <n v="29000"/>
  </r>
  <r>
    <x v="138"/>
    <x v="5"/>
    <x v="5"/>
    <x v="2"/>
    <x v="9"/>
    <n v="23"/>
    <n v="45977"/>
  </r>
  <r>
    <x v="139"/>
    <x v="1"/>
    <x v="0"/>
    <x v="5"/>
    <x v="23"/>
    <n v="43"/>
    <n v="34400"/>
  </r>
  <r>
    <x v="140"/>
    <x v="3"/>
    <x v="3"/>
    <x v="4"/>
    <x v="49"/>
    <n v="41"/>
    <n v="4100"/>
  </r>
  <r>
    <x v="141"/>
    <x v="0"/>
    <x v="2"/>
    <x v="4"/>
    <x v="25"/>
    <n v="37"/>
    <n v="517963"/>
  </r>
  <r>
    <x v="142"/>
    <x v="2"/>
    <x v="4"/>
    <x v="3"/>
    <x v="17"/>
    <n v="45"/>
    <n v="990000"/>
  </r>
  <r>
    <x v="143"/>
    <x v="4"/>
    <x v="4"/>
    <x v="5"/>
    <x v="26"/>
    <n v="15"/>
    <n v="1349985"/>
  </r>
  <r>
    <x v="144"/>
    <x v="0"/>
    <x v="0"/>
    <x v="3"/>
    <x v="25"/>
    <n v="22"/>
    <n v="307978"/>
  </r>
  <r>
    <x v="145"/>
    <x v="1"/>
    <x v="5"/>
    <x v="2"/>
    <x v="27"/>
    <n v="20"/>
    <n v="58000"/>
  </r>
  <r>
    <x v="146"/>
    <x v="4"/>
    <x v="4"/>
    <x v="3"/>
    <x v="6"/>
    <n v="16"/>
    <n v="528000"/>
  </r>
  <r>
    <x v="147"/>
    <x v="1"/>
    <x v="4"/>
    <x v="1"/>
    <x v="17"/>
    <n v="17"/>
    <n v="374000"/>
  </r>
  <r>
    <x v="148"/>
    <x v="1"/>
    <x v="5"/>
    <x v="1"/>
    <x v="35"/>
    <n v="50"/>
    <n v="2250000"/>
  </r>
  <r>
    <x v="149"/>
    <x v="4"/>
    <x v="2"/>
    <x v="2"/>
    <x v="0"/>
    <n v="4"/>
    <n v="1996"/>
  </r>
  <r>
    <x v="150"/>
    <x v="5"/>
    <x v="5"/>
    <x v="3"/>
    <x v="28"/>
    <n v="43"/>
    <n v="25370"/>
  </r>
  <r>
    <x v="151"/>
    <x v="2"/>
    <x v="5"/>
    <x v="1"/>
    <x v="28"/>
    <n v="42"/>
    <n v="24780"/>
  </r>
  <r>
    <x v="152"/>
    <x v="3"/>
    <x v="3"/>
    <x v="0"/>
    <x v="52"/>
    <n v="9"/>
    <n v="108000"/>
  </r>
  <r>
    <x v="153"/>
    <x v="4"/>
    <x v="4"/>
    <x v="5"/>
    <x v="29"/>
    <n v="40"/>
    <n v="2080000"/>
  </r>
  <r>
    <x v="154"/>
    <x v="4"/>
    <x v="1"/>
    <x v="3"/>
    <x v="30"/>
    <n v="14"/>
    <n v="111986"/>
  </r>
  <r>
    <x v="155"/>
    <x v="1"/>
    <x v="1"/>
    <x v="4"/>
    <x v="53"/>
    <n v="9"/>
    <n v="45000"/>
  </r>
  <r>
    <x v="156"/>
    <x v="4"/>
    <x v="4"/>
    <x v="3"/>
    <x v="32"/>
    <n v="10"/>
    <n v="799990"/>
  </r>
  <r>
    <x v="157"/>
    <x v="5"/>
    <x v="2"/>
    <x v="2"/>
    <x v="9"/>
    <n v="37"/>
    <n v="73963"/>
  </r>
  <r>
    <x v="158"/>
    <x v="4"/>
    <x v="4"/>
    <x v="3"/>
    <x v="26"/>
    <n v="29"/>
    <n v="2609971"/>
  </r>
  <r>
    <x v="159"/>
    <x v="2"/>
    <x v="4"/>
    <x v="0"/>
    <x v="54"/>
    <n v="44"/>
    <n v="35156"/>
  </r>
  <r>
    <x v="160"/>
    <x v="4"/>
    <x v="4"/>
    <x v="1"/>
    <x v="34"/>
    <n v="31"/>
    <n v="123690"/>
  </r>
  <r>
    <x v="161"/>
    <x v="1"/>
    <x v="4"/>
    <x v="2"/>
    <x v="29"/>
    <n v="29"/>
    <n v="1508000"/>
  </r>
  <r>
    <x v="162"/>
    <x v="1"/>
    <x v="0"/>
    <x v="3"/>
    <x v="25"/>
    <n v="34"/>
    <n v="475966"/>
  </r>
  <r>
    <x v="163"/>
    <x v="3"/>
    <x v="3"/>
    <x v="2"/>
    <x v="55"/>
    <n v="29"/>
    <n v="420500"/>
  </r>
  <r>
    <x v="164"/>
    <x v="4"/>
    <x v="1"/>
    <x v="5"/>
    <x v="20"/>
    <n v="25"/>
    <n v="599975"/>
  </r>
  <r>
    <x v="165"/>
    <x v="4"/>
    <x v="1"/>
    <x v="3"/>
    <x v="18"/>
    <n v="31"/>
    <n v="38750"/>
  </r>
  <r>
    <x v="166"/>
    <x v="5"/>
    <x v="2"/>
    <x v="3"/>
    <x v="38"/>
    <n v="16"/>
    <n v="569600"/>
  </r>
  <r>
    <x v="167"/>
    <x v="3"/>
    <x v="3"/>
    <x v="3"/>
    <x v="37"/>
    <n v="48"/>
    <n v="3120000"/>
  </r>
  <r>
    <x v="168"/>
    <x v="2"/>
    <x v="3"/>
    <x v="5"/>
    <x v="52"/>
    <n v="22"/>
    <n v="264000"/>
  </r>
  <r>
    <x v="169"/>
    <x v="5"/>
    <x v="5"/>
    <x v="3"/>
    <x v="22"/>
    <n v="6"/>
    <n v="4194"/>
  </r>
  <r>
    <x v="170"/>
    <x v="5"/>
    <x v="2"/>
    <x v="2"/>
    <x v="8"/>
    <n v="12"/>
    <n v="11880"/>
  </r>
  <r>
    <x v="171"/>
    <x v="5"/>
    <x v="5"/>
    <x v="0"/>
    <x v="36"/>
    <n v="44"/>
    <n v="19800"/>
  </r>
  <r>
    <x v="172"/>
    <x v="5"/>
    <x v="2"/>
    <x v="0"/>
    <x v="11"/>
    <n v="15"/>
    <n v="22485"/>
  </r>
  <r>
    <x v="173"/>
    <x v="0"/>
    <x v="0"/>
    <x v="4"/>
    <x v="0"/>
    <n v="26"/>
    <n v="12974"/>
  </r>
  <r>
    <x v="174"/>
    <x v="4"/>
    <x v="1"/>
    <x v="4"/>
    <x v="42"/>
    <n v="16"/>
    <n v="15360"/>
  </r>
  <r>
    <x v="175"/>
    <x v="2"/>
    <x v="2"/>
    <x v="3"/>
    <x v="1"/>
    <n v="35"/>
    <n v="195965"/>
  </r>
  <r>
    <x v="176"/>
    <x v="3"/>
    <x v="3"/>
    <x v="0"/>
    <x v="56"/>
    <n v="36"/>
    <n v="3204"/>
  </r>
  <r>
    <x v="177"/>
    <x v="0"/>
    <x v="0"/>
    <x v="2"/>
    <x v="5"/>
    <n v="20"/>
    <n v="51000"/>
  </r>
  <r>
    <x v="178"/>
    <x v="0"/>
    <x v="0"/>
    <x v="0"/>
    <x v="2"/>
    <n v="47"/>
    <n v="68150"/>
  </r>
  <r>
    <x v="179"/>
    <x v="5"/>
    <x v="5"/>
    <x v="3"/>
    <x v="27"/>
    <n v="6"/>
    <n v="17400"/>
  </r>
  <r>
    <x v="180"/>
    <x v="3"/>
    <x v="3"/>
    <x v="4"/>
    <x v="12"/>
    <n v="6"/>
    <n v="720"/>
  </r>
  <r>
    <x v="181"/>
    <x v="4"/>
    <x v="4"/>
    <x v="4"/>
    <x v="29"/>
    <n v="41"/>
    <n v="2132000"/>
  </r>
  <r>
    <x v="182"/>
    <x v="5"/>
    <x v="5"/>
    <x v="2"/>
    <x v="28"/>
    <n v="29"/>
    <n v="17110"/>
  </r>
  <r>
    <x v="183"/>
    <x v="4"/>
    <x v="2"/>
    <x v="5"/>
    <x v="30"/>
    <n v="31"/>
    <n v="247969"/>
  </r>
  <r>
    <x v="184"/>
    <x v="1"/>
    <x v="3"/>
    <x v="2"/>
    <x v="19"/>
    <n v="34"/>
    <n v="33966"/>
  </r>
  <r>
    <x v="185"/>
    <x v="2"/>
    <x v="5"/>
    <x v="0"/>
    <x v="8"/>
    <n v="43"/>
    <n v="42570"/>
  </r>
  <r>
    <x v="186"/>
    <x v="4"/>
    <x v="4"/>
    <x v="0"/>
    <x v="13"/>
    <n v="37"/>
    <n v="443963"/>
  </r>
  <r>
    <x v="187"/>
    <x v="4"/>
    <x v="1"/>
    <x v="0"/>
    <x v="42"/>
    <n v="7"/>
    <n v="6720"/>
  </r>
  <r>
    <x v="188"/>
    <x v="0"/>
    <x v="0"/>
    <x v="2"/>
    <x v="2"/>
    <n v="19"/>
    <n v="27550"/>
  </r>
  <r>
    <x v="189"/>
    <x v="5"/>
    <x v="5"/>
    <x v="1"/>
    <x v="36"/>
    <n v="47"/>
    <n v="21150"/>
  </r>
  <r>
    <x v="190"/>
    <x v="1"/>
    <x v="5"/>
    <x v="2"/>
    <x v="11"/>
    <n v="37"/>
    <n v="55463"/>
  </r>
  <r>
    <x v="191"/>
    <x v="2"/>
    <x v="4"/>
    <x v="1"/>
    <x v="32"/>
    <n v="4"/>
    <n v="319996"/>
  </r>
  <r>
    <x v="192"/>
    <x v="2"/>
    <x v="3"/>
    <x v="4"/>
    <x v="19"/>
    <n v="45"/>
    <n v="44955"/>
  </r>
  <r>
    <x v="193"/>
    <x v="4"/>
    <x v="4"/>
    <x v="0"/>
    <x v="29"/>
    <n v="15"/>
    <n v="780000"/>
  </r>
  <r>
    <x v="194"/>
    <x v="4"/>
    <x v="4"/>
    <x v="3"/>
    <x v="29"/>
    <n v="39"/>
    <n v="2028000"/>
  </r>
  <r>
    <x v="195"/>
    <x v="4"/>
    <x v="1"/>
    <x v="2"/>
    <x v="42"/>
    <n v="33"/>
    <n v="31680"/>
  </r>
  <r>
    <x v="196"/>
    <x v="4"/>
    <x v="1"/>
    <x v="2"/>
    <x v="2"/>
    <n v="34"/>
    <n v="49300"/>
  </r>
  <r>
    <x v="197"/>
    <x v="4"/>
    <x v="2"/>
    <x v="3"/>
    <x v="15"/>
    <n v="33"/>
    <n v="98967"/>
  </r>
  <r>
    <x v="198"/>
    <x v="2"/>
    <x v="1"/>
    <x v="4"/>
    <x v="18"/>
    <n v="14"/>
    <n v="17500"/>
  </r>
  <r>
    <x v="199"/>
    <x v="3"/>
    <x v="3"/>
    <x v="0"/>
    <x v="12"/>
    <n v="41"/>
    <n v="4920"/>
  </r>
  <r>
    <x v="200"/>
    <x v="1"/>
    <x v="0"/>
    <x v="3"/>
    <x v="2"/>
    <n v="22"/>
    <n v="31900"/>
  </r>
  <r>
    <x v="201"/>
    <x v="1"/>
    <x v="4"/>
    <x v="0"/>
    <x v="26"/>
    <n v="15"/>
    <n v="1349985"/>
  </r>
  <r>
    <x v="202"/>
    <x v="5"/>
    <x v="5"/>
    <x v="2"/>
    <x v="9"/>
    <n v="48"/>
    <n v="95952"/>
  </r>
  <r>
    <x v="203"/>
    <x v="5"/>
    <x v="2"/>
    <x v="3"/>
    <x v="27"/>
    <n v="49"/>
    <n v="142100"/>
  </r>
  <r>
    <x v="204"/>
    <x v="4"/>
    <x v="4"/>
    <x v="4"/>
    <x v="44"/>
    <n v="50"/>
    <n v="35000"/>
  </r>
  <r>
    <x v="205"/>
    <x v="3"/>
    <x v="3"/>
    <x v="3"/>
    <x v="45"/>
    <n v="41"/>
    <n v="8200"/>
  </r>
  <r>
    <x v="206"/>
    <x v="0"/>
    <x v="0"/>
    <x v="2"/>
    <x v="0"/>
    <n v="29"/>
    <n v="14471"/>
  </r>
  <r>
    <x v="207"/>
    <x v="2"/>
    <x v="0"/>
    <x v="5"/>
    <x v="1"/>
    <n v="36"/>
    <n v="201564"/>
  </r>
  <r>
    <x v="208"/>
    <x v="1"/>
    <x v="3"/>
    <x v="3"/>
    <x v="49"/>
    <n v="39"/>
    <n v="3900"/>
  </r>
  <r>
    <x v="209"/>
    <x v="4"/>
    <x v="2"/>
    <x v="3"/>
    <x v="32"/>
    <n v="9"/>
    <n v="719991"/>
  </r>
  <r>
    <x v="210"/>
    <x v="2"/>
    <x v="4"/>
    <x v="2"/>
    <x v="44"/>
    <n v="38"/>
    <n v="26600"/>
  </r>
  <r>
    <x v="211"/>
    <x v="4"/>
    <x v="1"/>
    <x v="0"/>
    <x v="31"/>
    <n v="25"/>
    <n v="13750"/>
  </r>
  <r>
    <x v="212"/>
    <x v="5"/>
    <x v="5"/>
    <x v="3"/>
    <x v="11"/>
    <n v="16"/>
    <n v="23984"/>
  </r>
  <r>
    <x v="213"/>
    <x v="3"/>
    <x v="3"/>
    <x v="4"/>
    <x v="12"/>
    <n v="22"/>
    <n v="2640"/>
  </r>
  <r>
    <x v="214"/>
    <x v="0"/>
    <x v="0"/>
    <x v="1"/>
    <x v="2"/>
    <n v="20"/>
    <n v="29000"/>
  </r>
  <r>
    <x v="215"/>
    <x v="5"/>
    <x v="2"/>
    <x v="2"/>
    <x v="9"/>
    <n v="23"/>
    <n v="45977"/>
  </r>
  <r>
    <x v="216"/>
    <x v="0"/>
    <x v="0"/>
    <x v="3"/>
    <x v="23"/>
    <n v="43"/>
    <n v="34400"/>
  </r>
  <r>
    <x v="217"/>
    <x v="2"/>
    <x v="3"/>
    <x v="4"/>
    <x v="49"/>
    <n v="41"/>
    <n v="4100"/>
  </r>
  <r>
    <x v="218"/>
    <x v="0"/>
    <x v="0"/>
    <x v="2"/>
    <x v="25"/>
    <n v="37"/>
    <n v="517963"/>
  </r>
  <r>
    <x v="219"/>
    <x v="4"/>
    <x v="4"/>
    <x v="3"/>
    <x v="17"/>
    <n v="45"/>
    <n v="990000"/>
  </r>
  <r>
    <x v="220"/>
    <x v="4"/>
    <x v="4"/>
    <x v="5"/>
    <x v="26"/>
    <n v="15"/>
    <n v="1349985"/>
  </r>
  <r>
    <x v="221"/>
    <x v="1"/>
    <x v="2"/>
    <x v="3"/>
    <x v="25"/>
    <n v="22"/>
    <n v="307978"/>
  </r>
  <r>
    <x v="222"/>
    <x v="2"/>
    <x v="5"/>
    <x v="2"/>
    <x v="27"/>
    <n v="20"/>
    <n v="58000"/>
  </r>
  <r>
    <x v="223"/>
    <x v="1"/>
    <x v="4"/>
    <x v="3"/>
    <x v="6"/>
    <n v="16"/>
    <n v="528000"/>
  </r>
  <r>
    <x v="224"/>
    <x v="4"/>
    <x v="2"/>
    <x v="1"/>
    <x v="17"/>
    <n v="17"/>
    <n v="374000"/>
  </r>
  <r>
    <x v="225"/>
    <x v="5"/>
    <x v="5"/>
    <x v="1"/>
    <x v="22"/>
    <n v="50"/>
    <n v="34950"/>
  </r>
  <r>
    <x v="226"/>
    <x v="2"/>
    <x v="4"/>
    <x v="2"/>
    <x v="0"/>
    <n v="4"/>
    <n v="1996"/>
  </r>
  <r>
    <x v="227"/>
    <x v="5"/>
    <x v="5"/>
    <x v="3"/>
    <x v="28"/>
    <n v="43"/>
    <n v="25370"/>
  </r>
  <r>
    <x v="228"/>
    <x v="5"/>
    <x v="5"/>
    <x v="1"/>
    <x v="28"/>
    <n v="42"/>
    <n v="24780"/>
  </r>
  <r>
    <x v="229"/>
    <x v="3"/>
    <x v="3"/>
    <x v="0"/>
    <x v="12"/>
    <n v="9"/>
    <n v="1080"/>
  </r>
  <r>
    <x v="230"/>
    <x v="2"/>
    <x v="4"/>
    <x v="5"/>
    <x v="29"/>
    <n v="40"/>
    <n v="2080000"/>
  </r>
  <r>
    <x v="231"/>
    <x v="4"/>
    <x v="2"/>
    <x v="3"/>
    <x v="30"/>
    <n v="14"/>
    <n v="111986"/>
  </r>
  <r>
    <x v="232"/>
    <x v="2"/>
    <x v="1"/>
    <x v="4"/>
    <x v="31"/>
    <n v="9"/>
    <n v="4950"/>
  </r>
  <r>
    <x v="233"/>
    <x v="4"/>
    <x v="4"/>
    <x v="3"/>
    <x v="32"/>
    <n v="10"/>
    <n v="799990"/>
  </r>
  <r>
    <x v="234"/>
    <x v="1"/>
    <x v="2"/>
    <x v="1"/>
    <x v="9"/>
    <n v="37"/>
    <n v="73963"/>
  </r>
  <r>
    <x v="235"/>
    <x v="2"/>
    <x v="4"/>
    <x v="3"/>
    <x v="26"/>
    <n v="29"/>
    <n v="2609971"/>
  </r>
  <r>
    <x v="236"/>
    <x v="4"/>
    <x v="4"/>
    <x v="0"/>
    <x v="54"/>
    <n v="44"/>
    <n v="35156"/>
  </r>
  <r>
    <x v="237"/>
    <x v="4"/>
    <x v="4"/>
    <x v="5"/>
    <x v="34"/>
    <n v="31"/>
    <n v="123690"/>
  </r>
  <r>
    <x v="238"/>
    <x v="2"/>
    <x v="2"/>
    <x v="2"/>
    <x v="29"/>
    <n v="29"/>
    <n v="1508000"/>
  </r>
  <r>
    <x v="239"/>
    <x v="0"/>
    <x v="0"/>
    <x v="3"/>
    <x v="25"/>
    <n v="34"/>
    <n v="475966"/>
  </r>
  <r>
    <x v="240"/>
    <x v="2"/>
    <x v="3"/>
    <x v="2"/>
    <x v="12"/>
    <n v="29"/>
    <n v="3480"/>
  </r>
  <r>
    <x v="241"/>
    <x v="4"/>
    <x v="1"/>
    <x v="0"/>
    <x v="20"/>
    <n v="25"/>
    <n v="599975"/>
  </r>
  <r>
    <x v="242"/>
    <x v="2"/>
    <x v="1"/>
    <x v="3"/>
    <x v="18"/>
    <n v="31"/>
    <n v="38750"/>
  </r>
  <r>
    <x v="243"/>
    <x v="5"/>
    <x v="2"/>
    <x v="3"/>
    <x v="35"/>
    <n v="16"/>
    <n v="720000"/>
  </r>
  <r>
    <x v="244"/>
    <x v="1"/>
    <x v="3"/>
    <x v="2"/>
    <x v="12"/>
    <n v="48"/>
    <n v="5760"/>
  </r>
  <r>
    <x v="245"/>
    <x v="2"/>
    <x v="2"/>
    <x v="4"/>
    <x v="57"/>
    <n v="22"/>
    <n v="563200"/>
  </r>
  <r>
    <x v="246"/>
    <x v="5"/>
    <x v="5"/>
    <x v="3"/>
    <x v="22"/>
    <n v="6"/>
    <n v="4194"/>
  </r>
  <r>
    <x v="247"/>
    <x v="5"/>
    <x v="2"/>
    <x v="2"/>
    <x v="58"/>
    <n v="12"/>
    <n v="1195440"/>
  </r>
  <r>
    <x v="248"/>
    <x v="2"/>
    <x v="5"/>
    <x v="5"/>
    <x v="36"/>
    <n v="44"/>
    <n v="19800"/>
  </r>
  <r>
    <x v="249"/>
    <x v="5"/>
    <x v="5"/>
    <x v="2"/>
    <x v="11"/>
    <n v="15"/>
    <n v="22485"/>
  </r>
  <r>
    <x v="250"/>
    <x v="0"/>
    <x v="2"/>
    <x v="4"/>
    <x v="59"/>
    <n v="26"/>
    <n v="1287000"/>
  </r>
  <r>
    <x v="251"/>
    <x v="1"/>
    <x v="1"/>
    <x v="4"/>
    <x v="42"/>
    <n v="16"/>
    <n v="15360"/>
  </r>
  <r>
    <x v="252"/>
    <x v="2"/>
    <x v="0"/>
    <x v="3"/>
    <x v="1"/>
    <n v="35"/>
    <n v="195965"/>
  </r>
  <r>
    <x v="253"/>
    <x v="3"/>
    <x v="3"/>
    <x v="0"/>
    <x v="56"/>
    <n v="36"/>
    <n v="3204"/>
  </r>
  <r>
    <x v="254"/>
    <x v="0"/>
    <x v="0"/>
    <x v="5"/>
    <x v="5"/>
    <n v="20"/>
    <n v="51000"/>
  </r>
  <r>
    <x v="255"/>
    <x v="2"/>
    <x v="2"/>
    <x v="0"/>
    <x v="55"/>
    <n v="47"/>
    <n v="681500"/>
  </r>
  <r>
    <x v="256"/>
    <x v="5"/>
    <x v="5"/>
    <x v="3"/>
    <x v="27"/>
    <n v="6"/>
    <n v="17400"/>
  </r>
  <r>
    <x v="257"/>
    <x v="3"/>
    <x v="3"/>
    <x v="4"/>
    <x v="12"/>
    <n v="6"/>
    <n v="720"/>
  </r>
  <r>
    <x v="258"/>
    <x v="4"/>
    <x v="2"/>
    <x v="2"/>
    <x v="29"/>
    <n v="41"/>
    <n v="2132000"/>
  </r>
  <r>
    <x v="259"/>
    <x v="1"/>
    <x v="5"/>
    <x v="1"/>
    <x v="28"/>
    <n v="29"/>
    <n v="17110"/>
  </r>
  <r>
    <x v="260"/>
    <x v="4"/>
    <x v="1"/>
    <x v="4"/>
    <x v="30"/>
    <n v="31"/>
    <n v="247969"/>
  </r>
  <r>
    <x v="261"/>
    <x v="2"/>
    <x v="3"/>
    <x v="1"/>
    <x v="19"/>
    <n v="34"/>
    <n v="33966"/>
  </r>
  <r>
    <x v="262"/>
    <x v="5"/>
    <x v="2"/>
    <x v="2"/>
    <x v="8"/>
    <n v="43"/>
    <n v="42570"/>
  </r>
  <r>
    <x v="263"/>
    <x v="2"/>
    <x v="4"/>
    <x v="0"/>
    <x v="13"/>
    <n v="37"/>
    <n v="443963"/>
  </r>
  <r>
    <x v="264"/>
    <x v="1"/>
    <x v="1"/>
    <x v="0"/>
    <x v="42"/>
    <n v="7"/>
    <n v="6720"/>
  </r>
  <r>
    <x v="265"/>
    <x v="0"/>
    <x v="0"/>
    <x v="2"/>
    <x v="2"/>
    <n v="19"/>
    <n v="27550"/>
  </r>
  <r>
    <x v="266"/>
    <x v="5"/>
    <x v="5"/>
    <x v="1"/>
    <x v="36"/>
    <n v="47"/>
    <n v="21150"/>
  </r>
  <r>
    <x v="267"/>
    <x v="2"/>
    <x v="2"/>
    <x v="1"/>
    <x v="11"/>
    <n v="37"/>
    <n v="55463"/>
  </r>
  <r>
    <x v="268"/>
    <x v="4"/>
    <x v="4"/>
    <x v="1"/>
    <x v="32"/>
    <n v="4"/>
    <n v="319996"/>
  </r>
  <r>
    <x v="269"/>
    <x v="2"/>
    <x v="3"/>
    <x v="4"/>
    <x v="19"/>
    <n v="45"/>
    <n v="44955"/>
  </r>
  <r>
    <x v="270"/>
    <x v="4"/>
    <x v="4"/>
    <x v="0"/>
    <x v="29"/>
    <n v="15"/>
    <n v="780000"/>
  </r>
  <r>
    <x v="271"/>
    <x v="1"/>
    <x v="4"/>
    <x v="3"/>
    <x v="29"/>
    <n v="39"/>
    <n v="2028000"/>
  </r>
  <r>
    <x v="272"/>
    <x v="2"/>
    <x v="1"/>
    <x v="3"/>
    <x v="42"/>
    <n v="33"/>
    <n v="31680"/>
  </r>
  <r>
    <x v="273"/>
    <x v="4"/>
    <x v="1"/>
    <x v="2"/>
    <x v="2"/>
    <n v="34"/>
    <n v="49300"/>
  </r>
  <r>
    <x v="274"/>
    <x v="5"/>
    <x v="5"/>
    <x v="5"/>
    <x v="60"/>
    <n v="100"/>
    <n v="250000"/>
  </r>
  <r>
    <x v="275"/>
    <x v="1"/>
    <x v="2"/>
    <x v="5"/>
    <x v="61"/>
    <n v="6"/>
    <n v="519240"/>
  </r>
  <r>
    <x v="276"/>
    <x v="3"/>
    <x v="3"/>
    <x v="5"/>
    <x v="31"/>
    <n v="44"/>
    <n v="24200"/>
  </r>
  <r>
    <x v="277"/>
    <x v="2"/>
    <x v="4"/>
    <x v="5"/>
    <x v="62"/>
    <n v="19"/>
    <n v="1242600"/>
  </r>
  <r>
    <x v="278"/>
    <x v="6"/>
    <x v="6"/>
    <x v="6"/>
    <x v="63"/>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7986129-1600-4EF0-95D6-5A2729825650}"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A1:C18" firstHeaderRow="1" firstDataRow="1" firstDataCol="0"/>
  <pivotFields count="9">
    <pivotField showAll="0">
      <items count="28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t="default"/>
      </items>
    </pivotField>
    <pivotField showAll="0"/>
    <pivotField showAll="0">
      <items count="8">
        <item x="2"/>
        <item x="0"/>
        <item x="4"/>
        <item x="1"/>
        <item x="3"/>
        <item x="5"/>
        <item x="6"/>
        <item t="default"/>
      </items>
    </pivotField>
    <pivotField showAll="0">
      <items count="8">
        <item x="2"/>
        <item x="4"/>
        <item x="0"/>
        <item x="5"/>
        <item x="3"/>
        <item x="1"/>
        <item x="6"/>
        <item t="default"/>
      </items>
    </pivotField>
    <pivotField showAll="0">
      <items count="65">
        <item x="56"/>
        <item x="49"/>
        <item x="12"/>
        <item x="45"/>
        <item x="36"/>
        <item x="0"/>
        <item x="31"/>
        <item x="28"/>
        <item x="22"/>
        <item x="44"/>
        <item x="54"/>
        <item x="23"/>
        <item x="42"/>
        <item x="8"/>
        <item x="19"/>
        <item x="18"/>
        <item x="2"/>
        <item x="11"/>
        <item x="9"/>
        <item x="60"/>
        <item x="5"/>
        <item x="27"/>
        <item x="15"/>
        <item x="34"/>
        <item x="53"/>
        <item x="1"/>
        <item x="30"/>
        <item x="16"/>
        <item x="13"/>
        <item x="52"/>
        <item x="47"/>
        <item x="25"/>
        <item x="55"/>
        <item x="4"/>
        <item x="24"/>
        <item x="43"/>
        <item x="17"/>
        <item x="20"/>
        <item x="57"/>
        <item x="6"/>
        <item x="38"/>
        <item x="39"/>
        <item x="35"/>
        <item x="14"/>
        <item x="50"/>
        <item x="46"/>
        <item x="59"/>
        <item x="29"/>
        <item x="40"/>
        <item x="41"/>
        <item x="10"/>
        <item x="37"/>
        <item x="21"/>
        <item x="62"/>
        <item x="48"/>
        <item x="33"/>
        <item x="32"/>
        <item x="3"/>
        <item x="7"/>
        <item x="61"/>
        <item x="26"/>
        <item x="51"/>
        <item x="58"/>
        <item x="63"/>
        <item t="default"/>
      </items>
    </pivotField>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DCC11D1-11C6-400A-A9B9-F7EAC57A8FD2}" name="PIVOT 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A62:B74" firstHeaderRow="1" firstDataRow="1" firstDataCol="1"/>
  <pivotFields count="9">
    <pivotField showAll="0">
      <items count="28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t="default"/>
      </items>
    </pivotField>
    <pivotField showAll="0"/>
    <pivotField showAll="0">
      <items count="8">
        <item x="2"/>
        <item x="0"/>
        <item x="4"/>
        <item x="1"/>
        <item x="3"/>
        <item x="5"/>
        <item x="6"/>
        <item t="default"/>
      </items>
    </pivotField>
    <pivotField showAll="0">
      <items count="8">
        <item x="2"/>
        <item x="4"/>
        <item x="0"/>
        <item x="5"/>
        <item x="3"/>
        <item x="1"/>
        <item x="6"/>
        <item t="default"/>
      </items>
    </pivotField>
    <pivotField showAll="0"/>
    <pivotField showAll="0"/>
    <pivotField dataField="1" showAll="0"/>
    <pivotField showAll="0" defaultSubtotal="0"/>
    <pivotField axis="axisRow" showAll="0" defaultSubtotal="0">
      <items count="14">
        <item x="0"/>
        <item x="1"/>
        <item x="2"/>
        <item x="3"/>
        <item x="4"/>
        <item x="5"/>
        <item x="6"/>
        <item x="7"/>
        <item x="8"/>
        <item x="9"/>
        <item x="10"/>
        <item x="11"/>
        <item x="12"/>
        <item x="13"/>
      </items>
    </pivotField>
  </pivotFields>
  <rowFields count="1">
    <field x="8"/>
  </rowFields>
  <rowItems count="12">
    <i>
      <x/>
    </i>
    <i>
      <x v="1"/>
    </i>
    <i>
      <x v="2"/>
    </i>
    <i>
      <x v="3"/>
    </i>
    <i>
      <x v="4"/>
    </i>
    <i>
      <x v="5"/>
    </i>
    <i>
      <x v="6"/>
    </i>
    <i>
      <x v="7"/>
    </i>
    <i>
      <x v="8"/>
    </i>
    <i>
      <x v="9"/>
    </i>
    <i>
      <x v="10"/>
    </i>
    <i t="grand">
      <x/>
    </i>
  </rowItems>
  <colItems count="1">
    <i/>
  </colItems>
  <dataFields count="1">
    <dataField name="Sum of Amount" fld="6" baseField="0" baseItem="0"/>
  </dataFields>
  <formats count="12">
    <format dxfId="333">
      <pivotArea type="all" dataOnly="0" outline="0" fieldPosition="0"/>
    </format>
    <format dxfId="332">
      <pivotArea outline="0" collapsedLevelsAreSubtotals="1" fieldPosition="0"/>
    </format>
    <format dxfId="331">
      <pivotArea field="8" type="button" dataOnly="0" labelOnly="1" outline="0" axis="axisRow" fieldPosition="0"/>
    </format>
    <format dxfId="330">
      <pivotArea dataOnly="0" labelOnly="1" fieldPosition="0">
        <references count="1">
          <reference field="8" count="11">
            <x v="0"/>
            <x v="1"/>
            <x v="2"/>
            <x v="3"/>
            <x v="4"/>
            <x v="5"/>
            <x v="6"/>
            <x v="7"/>
            <x v="8"/>
            <x v="9"/>
            <x v="10"/>
          </reference>
        </references>
      </pivotArea>
    </format>
    <format dxfId="329">
      <pivotArea dataOnly="0" labelOnly="1" grandRow="1" outline="0" fieldPosition="0"/>
    </format>
    <format dxfId="328">
      <pivotArea dataOnly="0" labelOnly="1" outline="0" axis="axisValues" fieldPosition="0"/>
    </format>
    <format dxfId="327">
      <pivotArea type="all" dataOnly="0" outline="0" fieldPosition="0"/>
    </format>
    <format dxfId="326">
      <pivotArea outline="0" collapsedLevelsAreSubtotals="1" fieldPosition="0"/>
    </format>
    <format dxfId="325">
      <pivotArea field="8" type="button" dataOnly="0" labelOnly="1" outline="0" axis="axisRow" fieldPosition="0"/>
    </format>
    <format dxfId="324">
      <pivotArea dataOnly="0" labelOnly="1" fieldPosition="0">
        <references count="1">
          <reference field="8" count="11">
            <x v="0"/>
            <x v="1"/>
            <x v="2"/>
            <x v="3"/>
            <x v="4"/>
            <x v="5"/>
            <x v="6"/>
            <x v="7"/>
            <x v="8"/>
            <x v="9"/>
            <x v="10"/>
          </reference>
        </references>
      </pivotArea>
    </format>
    <format dxfId="323">
      <pivotArea dataOnly="0" labelOnly="1" grandRow="1" outline="0" fieldPosition="0"/>
    </format>
    <format dxfId="322">
      <pivotArea dataOnly="0" labelOnly="1" outline="0" axis="axisValues" fieldPosition="0"/>
    </format>
  </formats>
  <chartFormats count="3">
    <chartFormat chart="1"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4B872F7-3345-4E58-A739-7330C3820F00}" name="PIVOT 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location ref="A1:B9" firstHeaderRow="1" firstDataRow="1" firstDataCol="1"/>
  <pivotFields count="9">
    <pivotField showAll="0">
      <items count="28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t="default"/>
      </items>
    </pivotField>
    <pivotField showAll="0"/>
    <pivotField showAll="0">
      <items count="8">
        <item x="2"/>
        <item x="0"/>
        <item x="4"/>
        <item x="1"/>
        <item x="3"/>
        <item x="5"/>
        <item x="6"/>
        <item t="default"/>
      </items>
    </pivotField>
    <pivotField axis="axisRow" showAll="0">
      <items count="8">
        <item x="2"/>
        <item x="4"/>
        <item x="0"/>
        <item x="5"/>
        <item x="3"/>
        <item x="1"/>
        <item x="6"/>
        <item t="default"/>
      </items>
    </pivotField>
    <pivotField showAll="0">
      <items count="65">
        <item x="56"/>
        <item x="49"/>
        <item x="12"/>
        <item x="45"/>
        <item x="36"/>
        <item x="0"/>
        <item x="31"/>
        <item x="28"/>
        <item x="22"/>
        <item x="44"/>
        <item x="54"/>
        <item x="23"/>
        <item x="42"/>
        <item x="8"/>
        <item x="19"/>
        <item x="18"/>
        <item x="2"/>
        <item x="11"/>
        <item x="9"/>
        <item x="60"/>
        <item x="5"/>
        <item x="27"/>
        <item x="15"/>
        <item x="34"/>
        <item x="53"/>
        <item x="1"/>
        <item x="30"/>
        <item x="16"/>
        <item x="13"/>
        <item x="52"/>
        <item x="47"/>
        <item x="25"/>
        <item x="55"/>
        <item x="4"/>
        <item x="24"/>
        <item x="43"/>
        <item x="17"/>
        <item x="20"/>
        <item x="57"/>
        <item x="6"/>
        <item x="38"/>
        <item x="39"/>
        <item x="35"/>
        <item x="14"/>
        <item x="50"/>
        <item x="46"/>
        <item x="59"/>
        <item x="29"/>
        <item x="40"/>
        <item x="41"/>
        <item x="10"/>
        <item x="37"/>
        <item x="21"/>
        <item x="62"/>
        <item x="48"/>
        <item x="33"/>
        <item x="32"/>
        <item x="3"/>
        <item x="7"/>
        <item x="61"/>
        <item x="26"/>
        <item x="51"/>
        <item x="58"/>
        <item x="63"/>
        <item t="default"/>
      </items>
    </pivotField>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8">
    <i>
      <x/>
    </i>
    <i>
      <x v="1"/>
    </i>
    <i>
      <x v="2"/>
    </i>
    <i>
      <x v="3"/>
    </i>
    <i>
      <x v="4"/>
    </i>
    <i>
      <x v="5"/>
    </i>
    <i>
      <x v="6"/>
    </i>
    <i t="grand">
      <x/>
    </i>
  </rowItems>
  <colItems count="1">
    <i/>
  </colItems>
  <dataFields count="1">
    <dataField name="Sum of Amount" fld="6" baseField="0" baseItem="0" numFmtId="164"/>
  </dataFields>
  <formats count="3">
    <format dxfId="321">
      <pivotArea collapsedLevelsAreSubtotals="1" fieldPosition="0">
        <references count="1">
          <reference field="3" count="6">
            <x v="0"/>
            <x v="1"/>
            <x v="2"/>
            <x v="3"/>
            <x v="4"/>
            <x v="5"/>
          </reference>
        </references>
      </pivotArea>
    </format>
    <format dxfId="320">
      <pivotArea grandRow="1" outline="0" collapsedLevelsAreSubtotals="1" fieldPosition="0"/>
    </format>
    <format dxfId="319">
      <pivotArea outline="0" collapsedLevelsAreSubtotals="1" fieldPosition="0"/>
    </format>
  </formats>
  <chartFormats count="5">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42D7501-6E98-44E8-8726-12C8CECF6FE4}"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9">
  <location ref="A26:A27" firstHeaderRow="1" firstDataRow="1" firstDataCol="0"/>
  <pivotFields count="9">
    <pivotField showAll="0">
      <items count="28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t="default"/>
      </items>
    </pivotField>
    <pivotField showAll="0"/>
    <pivotField showAll="0">
      <items count="8">
        <item x="2"/>
        <item x="0"/>
        <item x="4"/>
        <item x="1"/>
        <item x="3"/>
        <item x="5"/>
        <item x="6"/>
        <item t="default"/>
      </items>
    </pivotField>
    <pivotField showAll="0">
      <items count="8">
        <item x="2"/>
        <item x="4"/>
        <item x="0"/>
        <item x="5"/>
        <item x="3"/>
        <item x="1"/>
        <item x="6"/>
        <item t="default"/>
      </items>
    </pivotField>
    <pivotField showAll="0">
      <items count="65">
        <item x="56"/>
        <item x="49"/>
        <item x="12"/>
        <item x="45"/>
        <item x="36"/>
        <item x="0"/>
        <item x="31"/>
        <item x="28"/>
        <item x="22"/>
        <item x="44"/>
        <item x="54"/>
        <item x="23"/>
        <item x="42"/>
        <item x="8"/>
        <item x="19"/>
        <item x="18"/>
        <item x="2"/>
        <item x="11"/>
        <item x="9"/>
        <item x="60"/>
        <item x="5"/>
        <item x="27"/>
        <item x="15"/>
        <item x="34"/>
        <item x="53"/>
        <item x="1"/>
        <item x="30"/>
        <item x="16"/>
        <item x="13"/>
        <item x="52"/>
        <item x="47"/>
        <item x="25"/>
        <item x="55"/>
        <item x="4"/>
        <item x="24"/>
        <item x="43"/>
        <item x="17"/>
        <item x="20"/>
        <item x="57"/>
        <item x="6"/>
        <item x="38"/>
        <item x="39"/>
        <item x="35"/>
        <item x="14"/>
        <item x="50"/>
        <item x="46"/>
        <item x="59"/>
        <item x="29"/>
        <item x="40"/>
        <item x="41"/>
        <item x="10"/>
        <item x="37"/>
        <item x="21"/>
        <item x="62"/>
        <item x="48"/>
        <item x="33"/>
        <item x="32"/>
        <item x="3"/>
        <item x="7"/>
        <item x="61"/>
        <item x="26"/>
        <item x="51"/>
        <item x="58"/>
        <item x="63"/>
        <item t="default"/>
      </items>
    </pivotField>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Sum of Amount" fld="6" baseField="0" baseItem="0"/>
  </dataFields>
  <chartFormats count="3">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9BD0D9E-6994-4021-A8F8-113EF83DB881}" name="PIVOT 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6">
  <location ref="A1:B9" firstHeaderRow="1" firstDataRow="1" firstDataCol="1"/>
  <pivotFields count="9">
    <pivotField showAll="0">
      <items count="28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t="default"/>
      </items>
    </pivotField>
    <pivotField showAll="0"/>
    <pivotField axis="axisRow" showAll="0">
      <items count="8">
        <item x="2"/>
        <item x="0"/>
        <item x="4"/>
        <item x="1"/>
        <item x="3"/>
        <item x="5"/>
        <item x="6"/>
        <item t="default"/>
      </items>
    </pivotField>
    <pivotField showAll="0">
      <items count="8">
        <item x="2"/>
        <item x="4"/>
        <item x="0"/>
        <item x="5"/>
        <item x="3"/>
        <item x="1"/>
        <item x="6"/>
        <item t="default"/>
      </items>
    </pivotField>
    <pivotField showAll="0">
      <items count="65">
        <item x="56"/>
        <item x="49"/>
        <item x="12"/>
        <item x="45"/>
        <item x="36"/>
        <item x="0"/>
        <item x="31"/>
        <item x="28"/>
        <item x="22"/>
        <item x="44"/>
        <item x="54"/>
        <item x="23"/>
        <item x="42"/>
        <item x="8"/>
        <item x="19"/>
        <item x="18"/>
        <item x="2"/>
        <item x="11"/>
        <item x="9"/>
        <item x="60"/>
        <item x="5"/>
        <item x="27"/>
        <item x="15"/>
        <item x="34"/>
        <item x="53"/>
        <item x="1"/>
        <item x="30"/>
        <item x="16"/>
        <item x="13"/>
        <item x="52"/>
        <item x="47"/>
        <item x="25"/>
        <item x="55"/>
        <item x="4"/>
        <item x="24"/>
        <item x="43"/>
        <item x="17"/>
        <item x="20"/>
        <item x="57"/>
        <item x="6"/>
        <item x="38"/>
        <item x="39"/>
        <item x="35"/>
        <item x="14"/>
        <item x="50"/>
        <item x="46"/>
        <item x="59"/>
        <item x="29"/>
        <item x="40"/>
        <item x="41"/>
        <item x="10"/>
        <item x="37"/>
        <item x="21"/>
        <item x="62"/>
        <item x="48"/>
        <item x="33"/>
        <item x="32"/>
        <item x="3"/>
        <item x="7"/>
        <item x="61"/>
        <item x="26"/>
        <item x="51"/>
        <item x="58"/>
        <item x="63"/>
        <item t="default"/>
      </items>
    </pivotField>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8">
    <i>
      <x/>
    </i>
    <i>
      <x v="1"/>
    </i>
    <i>
      <x v="2"/>
    </i>
    <i>
      <x v="3"/>
    </i>
    <i>
      <x v="4"/>
    </i>
    <i>
      <x v="5"/>
    </i>
    <i>
      <x v="6"/>
    </i>
    <i t="grand">
      <x/>
    </i>
  </rowItems>
  <colItems count="1">
    <i/>
  </colItems>
  <dataFields count="1">
    <dataField name="Sum of Amount" fld="6" showDataAs="percentOfCol" baseField="0" baseItem="0" numFmtId="10"/>
  </dataFields>
  <chartFormats count="3">
    <chartFormat chart="14"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0D4109B-348A-4788-B07E-2116EDCEB53F}"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9">
  <location ref="A32:A33" firstHeaderRow="1" firstDataRow="1" firstDataCol="0"/>
  <pivotFields count="9">
    <pivotField showAll="0">
      <items count="28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t="default"/>
      </items>
    </pivotField>
    <pivotField showAll="0"/>
    <pivotField showAll="0">
      <items count="8">
        <item x="2"/>
        <item x="0"/>
        <item x="4"/>
        <item x="1"/>
        <item x="3"/>
        <item x="5"/>
        <item x="6"/>
        <item t="default"/>
      </items>
    </pivotField>
    <pivotField showAll="0">
      <items count="8">
        <item x="2"/>
        <item x="4"/>
        <item x="0"/>
        <item x="5"/>
        <item x="3"/>
        <item x="1"/>
        <item x="6"/>
        <item t="default"/>
      </items>
    </pivotField>
    <pivotField showAll="0">
      <items count="65">
        <item x="56"/>
        <item x="49"/>
        <item x="12"/>
        <item x="45"/>
        <item x="36"/>
        <item x="0"/>
        <item x="31"/>
        <item x="28"/>
        <item x="22"/>
        <item x="44"/>
        <item x="54"/>
        <item x="23"/>
        <item x="42"/>
        <item x="8"/>
        <item x="19"/>
        <item x="18"/>
        <item x="2"/>
        <item x="11"/>
        <item x="9"/>
        <item x="60"/>
        <item x="5"/>
        <item x="27"/>
        <item x="15"/>
        <item x="34"/>
        <item x="53"/>
        <item x="1"/>
        <item x="30"/>
        <item x="16"/>
        <item x="13"/>
        <item x="52"/>
        <item x="47"/>
        <item x="25"/>
        <item x="55"/>
        <item x="4"/>
        <item x="24"/>
        <item x="43"/>
        <item x="17"/>
        <item x="20"/>
        <item x="57"/>
        <item x="6"/>
        <item x="38"/>
        <item x="39"/>
        <item x="35"/>
        <item x="14"/>
        <item x="50"/>
        <item x="46"/>
        <item x="59"/>
        <item x="29"/>
        <item x="40"/>
        <item x="41"/>
        <item x="10"/>
        <item x="37"/>
        <item x="21"/>
        <item x="62"/>
        <item x="48"/>
        <item x="33"/>
        <item x="32"/>
        <item x="3"/>
        <item x="7"/>
        <item x="61"/>
        <item x="26"/>
        <item x="51"/>
        <item x="58"/>
        <item x="63"/>
        <item t="default"/>
      </items>
    </pivotField>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Count of Amount" fld="6" subtotal="count" baseField="0" baseItem="0"/>
  </dataFields>
  <chartFormats count="3">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80CABBF-350E-4318-B318-A60F9DDEBE87}" name="PIVOT 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3">
  <location ref="A1:B5" firstHeaderRow="1" firstDataRow="1" firstDataCol="1"/>
  <pivotFields count="9">
    <pivotField showAll="0">
      <items count="28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t="default"/>
      </items>
    </pivotField>
    <pivotField showAll="0"/>
    <pivotField axis="axisRow" showAll="0" measureFilter="1" sortType="ascending">
      <items count="8">
        <item x="2"/>
        <item x="0"/>
        <item x="4"/>
        <item x="1"/>
        <item x="3"/>
        <item x="5"/>
        <item x="6"/>
        <item t="default"/>
      </items>
      <autoSortScope>
        <pivotArea dataOnly="0" outline="0" fieldPosition="0">
          <references count="1">
            <reference field="4294967294" count="1" selected="0">
              <x v="0"/>
            </reference>
          </references>
        </pivotArea>
      </autoSortScope>
    </pivotField>
    <pivotField showAll="0">
      <items count="8">
        <item x="2"/>
        <item x="4"/>
        <item x="0"/>
        <item x="5"/>
        <item x="3"/>
        <item x="1"/>
        <item x="6"/>
        <item t="default"/>
      </items>
    </pivotField>
    <pivotField showAll="0">
      <items count="65">
        <item x="56"/>
        <item x="49"/>
        <item x="12"/>
        <item x="45"/>
        <item x="36"/>
        <item x="0"/>
        <item x="31"/>
        <item x="28"/>
        <item x="22"/>
        <item x="44"/>
        <item x="54"/>
        <item x="23"/>
        <item x="42"/>
        <item x="8"/>
        <item x="19"/>
        <item x="18"/>
        <item x="2"/>
        <item x="11"/>
        <item x="9"/>
        <item x="60"/>
        <item x="5"/>
        <item x="27"/>
        <item x="15"/>
        <item x="34"/>
        <item x="53"/>
        <item x="1"/>
        <item x="30"/>
        <item x="16"/>
        <item x="13"/>
        <item x="52"/>
        <item x="47"/>
        <item x="25"/>
        <item x="55"/>
        <item x="4"/>
        <item x="24"/>
        <item x="43"/>
        <item x="17"/>
        <item x="20"/>
        <item x="57"/>
        <item x="6"/>
        <item x="38"/>
        <item x="39"/>
        <item x="35"/>
        <item x="14"/>
        <item x="50"/>
        <item x="46"/>
        <item x="59"/>
        <item x="29"/>
        <item x="40"/>
        <item x="41"/>
        <item x="10"/>
        <item x="37"/>
        <item x="21"/>
        <item x="62"/>
        <item x="48"/>
        <item x="33"/>
        <item x="32"/>
        <item x="3"/>
        <item x="7"/>
        <item x="61"/>
        <item x="26"/>
        <item x="51"/>
        <item x="58"/>
        <item x="63"/>
        <item t="default"/>
      </items>
    </pivotField>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4">
    <i>
      <x v="5"/>
    </i>
    <i>
      <x/>
    </i>
    <i>
      <x v="2"/>
    </i>
    <i t="grand">
      <x/>
    </i>
  </rowItems>
  <colItems count="1">
    <i/>
  </colItems>
  <dataFields count="1">
    <dataField name="Sum of Units" fld="5" baseField="0" baseItem="0"/>
  </dataFields>
  <formats count="6">
    <format dxfId="318">
      <pivotArea type="all" dataOnly="0" outline="0" fieldPosition="0"/>
    </format>
    <format dxfId="317">
      <pivotArea outline="0" collapsedLevelsAreSubtotals="1" fieldPosition="0"/>
    </format>
    <format dxfId="316">
      <pivotArea field="2" type="button" dataOnly="0" labelOnly="1" outline="0" axis="axisRow" fieldPosition="0"/>
    </format>
    <format dxfId="315">
      <pivotArea dataOnly="0" labelOnly="1" fieldPosition="0">
        <references count="1">
          <reference field="2" count="0"/>
        </references>
      </pivotArea>
    </format>
    <format dxfId="314">
      <pivotArea dataOnly="0" labelOnly="1" grandRow="1" outline="0" fieldPosition="0"/>
    </format>
    <format dxfId="313">
      <pivotArea dataOnly="0" labelOnly="1" outline="0" axis="axisValues" fieldPosition="0"/>
    </format>
  </formats>
  <chartFormats count="2">
    <chartFormat chart="28"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9"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C73306E-60B5-4529-B99E-E6EC8E6F9356}" name="PIVOT TABLE -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3">
  <location ref="A1:B6" firstHeaderRow="1" firstDataRow="1" firstDataCol="1"/>
  <pivotFields count="9">
    <pivotField showAll="0">
      <items count="28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t="default"/>
      </items>
    </pivotField>
    <pivotField showAll="0"/>
    <pivotField axis="axisRow" showAll="0" measureFilter="1" sortType="descending">
      <items count="8">
        <item x="2"/>
        <item x="0"/>
        <item x="4"/>
        <item x="1"/>
        <item x="3"/>
        <item x="5"/>
        <item x="6"/>
        <item t="default"/>
      </items>
      <autoSortScope>
        <pivotArea dataOnly="0" outline="0" fieldPosition="0">
          <references count="1">
            <reference field="4294967294" count="1" selected="0">
              <x v="0"/>
            </reference>
          </references>
        </pivotArea>
      </autoSortScope>
    </pivotField>
    <pivotField showAll="0">
      <items count="8">
        <item x="2"/>
        <item x="4"/>
        <item x="0"/>
        <item x="5"/>
        <item x="3"/>
        <item x="1"/>
        <item x="6"/>
        <item t="default"/>
      </items>
    </pivotField>
    <pivotField showAll="0">
      <items count="65">
        <item x="56"/>
        <item x="49"/>
        <item x="12"/>
        <item x="45"/>
        <item x="36"/>
        <item x="0"/>
        <item x="31"/>
        <item x="28"/>
        <item x="22"/>
        <item x="44"/>
        <item x="54"/>
        <item x="23"/>
        <item x="42"/>
        <item x="8"/>
        <item x="19"/>
        <item x="18"/>
        <item x="2"/>
        <item x="11"/>
        <item x="9"/>
        <item x="60"/>
        <item x="5"/>
        <item x="27"/>
        <item x="15"/>
        <item x="34"/>
        <item x="53"/>
        <item x="1"/>
        <item x="30"/>
        <item x="16"/>
        <item x="13"/>
        <item x="52"/>
        <item x="47"/>
        <item x="25"/>
        <item x="55"/>
        <item x="4"/>
        <item x="24"/>
        <item x="43"/>
        <item x="17"/>
        <item x="20"/>
        <item x="57"/>
        <item x="6"/>
        <item x="38"/>
        <item x="39"/>
        <item x="35"/>
        <item x="14"/>
        <item x="50"/>
        <item x="46"/>
        <item x="59"/>
        <item x="29"/>
        <item x="40"/>
        <item x="41"/>
        <item x="10"/>
        <item x="37"/>
        <item x="21"/>
        <item x="62"/>
        <item x="48"/>
        <item x="33"/>
        <item x="32"/>
        <item x="3"/>
        <item x="7"/>
        <item x="61"/>
        <item x="26"/>
        <item x="51"/>
        <item x="58"/>
        <item x="63"/>
        <item t="default"/>
      </items>
    </pivotField>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5">
    <i>
      <x v="1"/>
    </i>
    <i>
      <x v="4"/>
    </i>
    <i>
      <x v="3"/>
    </i>
    <i>
      <x v="6"/>
    </i>
    <i t="grand">
      <x/>
    </i>
  </rowItems>
  <colItems count="1">
    <i/>
  </colItems>
  <dataFields count="1">
    <dataField name="Sum of Units" fld="5" baseField="0" baseItem="0"/>
  </dataFields>
  <formats count="6">
    <format dxfId="312">
      <pivotArea type="all" dataOnly="0" outline="0" fieldPosition="0"/>
    </format>
    <format dxfId="311">
      <pivotArea outline="0" collapsedLevelsAreSubtotals="1" fieldPosition="0"/>
    </format>
    <format dxfId="310">
      <pivotArea field="2" type="button" dataOnly="0" labelOnly="1" outline="0" axis="axisRow" fieldPosition="0"/>
    </format>
    <format dxfId="309">
      <pivotArea dataOnly="0" labelOnly="1" fieldPosition="0">
        <references count="1">
          <reference field="2" count="0"/>
        </references>
      </pivotArea>
    </format>
    <format dxfId="308">
      <pivotArea dataOnly="0" labelOnly="1" grandRow="1" outline="0" fieldPosition="0"/>
    </format>
    <format dxfId="307">
      <pivotArea dataOnly="0" labelOnly="1" outline="0" axis="axisValues" fieldPosition="0"/>
    </format>
  </formats>
  <chartFormats count="2">
    <chartFormat chart="28"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21" iMeasureFld="0">
      <autoFilter ref="A1">
        <filterColumn colId="0">
          <top10 top="0" val="4" filterVal="4"/>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2999A42-38B6-48AB-A2A1-CC5C2077B451}" name="PIVOT 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3">
  <location ref="A1:B9" firstHeaderRow="1" firstDataRow="1" firstDataCol="1"/>
  <pivotFields count="9">
    <pivotField showAll="0">
      <items count="28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t="default"/>
      </items>
    </pivotField>
    <pivotField showAll="0"/>
    <pivotField axis="axisRow" showAll="0">
      <items count="8">
        <item x="2"/>
        <item x="0"/>
        <item x="4"/>
        <item x="1"/>
        <item x="3"/>
        <item x="5"/>
        <item x="6"/>
        <item t="default"/>
      </items>
    </pivotField>
    <pivotField showAll="0">
      <items count="8">
        <item x="2"/>
        <item x="4"/>
        <item x="0"/>
        <item x="5"/>
        <item x="3"/>
        <item x="1"/>
        <item x="6"/>
        <item t="default"/>
      </items>
    </pivotField>
    <pivotField showAll="0">
      <items count="65">
        <item x="56"/>
        <item x="49"/>
        <item x="12"/>
        <item x="45"/>
        <item x="36"/>
        <item x="0"/>
        <item x="31"/>
        <item x="28"/>
        <item x="22"/>
        <item x="44"/>
        <item x="54"/>
        <item x="23"/>
        <item x="42"/>
        <item x="8"/>
        <item x="19"/>
        <item x="18"/>
        <item x="2"/>
        <item x="11"/>
        <item x="9"/>
        <item x="60"/>
        <item x="5"/>
        <item x="27"/>
        <item x="15"/>
        <item x="34"/>
        <item x="53"/>
        <item x="1"/>
        <item x="30"/>
        <item x="16"/>
        <item x="13"/>
        <item x="52"/>
        <item x="47"/>
        <item x="25"/>
        <item x="55"/>
        <item x="4"/>
        <item x="24"/>
        <item x="43"/>
        <item x="17"/>
        <item x="20"/>
        <item x="57"/>
        <item x="6"/>
        <item x="38"/>
        <item x="39"/>
        <item x="35"/>
        <item x="14"/>
        <item x="50"/>
        <item x="46"/>
        <item x="59"/>
        <item x="29"/>
        <item x="40"/>
        <item x="41"/>
        <item x="10"/>
        <item x="37"/>
        <item x="21"/>
        <item x="62"/>
        <item x="48"/>
        <item x="33"/>
        <item x="32"/>
        <item x="3"/>
        <item x="7"/>
        <item x="61"/>
        <item x="26"/>
        <item x="51"/>
        <item x="58"/>
        <item x="63"/>
        <item t="default"/>
      </items>
    </pivotField>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8">
    <i>
      <x/>
    </i>
    <i>
      <x v="1"/>
    </i>
    <i>
      <x v="2"/>
    </i>
    <i>
      <x v="3"/>
    </i>
    <i>
      <x v="4"/>
    </i>
    <i>
      <x v="5"/>
    </i>
    <i>
      <x v="6"/>
    </i>
    <i t="grand">
      <x/>
    </i>
  </rowItems>
  <colItems count="1">
    <i/>
  </colItems>
  <dataFields count="1">
    <dataField name="Sum of Units" fld="5" baseField="0" baseItem="0"/>
  </dataFields>
  <chartFormats count="2">
    <chartFormat chart="27"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4D2D09D-1CBA-4535-9B6C-FBAE47BBBCB4}" name="PIVOT 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2">
  <location ref="A1:B5" firstHeaderRow="1" firstDataRow="1" firstDataCol="1"/>
  <pivotFields count="9">
    <pivotField showAll="0">
      <items count="28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t="default"/>
      </items>
    </pivotField>
    <pivotField axis="axisRow" showAll="0" measureFilter="1" sortType="ascending">
      <items count="8">
        <item x="4"/>
        <item x="2"/>
        <item x="1"/>
        <item x="3"/>
        <item x="5"/>
        <item x="0"/>
        <item x="6"/>
        <item t="default"/>
      </items>
      <autoSortScope>
        <pivotArea dataOnly="0" outline="0" fieldPosition="0">
          <references count="1">
            <reference field="4294967294" count="1" selected="0">
              <x v="0"/>
            </reference>
          </references>
        </pivotArea>
      </autoSortScope>
    </pivotField>
    <pivotField showAll="0" sortType="ascending">
      <items count="8">
        <item x="2"/>
        <item x="0"/>
        <item x="4"/>
        <item x="1"/>
        <item x="3"/>
        <item x="5"/>
        <item x="6"/>
        <item t="default"/>
      </items>
      <autoSortScope>
        <pivotArea dataOnly="0" outline="0" fieldPosition="0">
          <references count="1">
            <reference field="4294967294" count="1" selected="0">
              <x v="0"/>
            </reference>
          </references>
        </pivotArea>
      </autoSortScope>
    </pivotField>
    <pivotField showAll="0">
      <items count="8">
        <item x="2"/>
        <item x="4"/>
        <item x="0"/>
        <item x="5"/>
        <item x="3"/>
        <item x="1"/>
        <item x="6"/>
        <item t="default"/>
      </items>
    </pivotField>
    <pivotField showAll="0">
      <items count="65">
        <item x="56"/>
        <item x="49"/>
        <item x="12"/>
        <item x="45"/>
        <item x="36"/>
        <item x="0"/>
        <item x="31"/>
        <item x="28"/>
        <item x="22"/>
        <item x="44"/>
        <item x="54"/>
        <item x="23"/>
        <item x="42"/>
        <item x="8"/>
        <item x="19"/>
        <item x="18"/>
        <item x="2"/>
        <item x="11"/>
        <item x="9"/>
        <item x="60"/>
        <item x="5"/>
        <item x="27"/>
        <item x="15"/>
        <item x="34"/>
        <item x="53"/>
        <item x="1"/>
        <item x="30"/>
        <item x="16"/>
        <item x="13"/>
        <item x="52"/>
        <item x="47"/>
        <item x="25"/>
        <item x="55"/>
        <item x="4"/>
        <item x="24"/>
        <item x="43"/>
        <item x="17"/>
        <item x="20"/>
        <item x="57"/>
        <item x="6"/>
        <item x="38"/>
        <item x="39"/>
        <item x="35"/>
        <item x="14"/>
        <item x="50"/>
        <item x="46"/>
        <item x="59"/>
        <item x="29"/>
        <item x="40"/>
        <item x="41"/>
        <item x="10"/>
        <item x="37"/>
        <item x="21"/>
        <item x="62"/>
        <item x="48"/>
        <item x="33"/>
        <item x="32"/>
        <item x="3"/>
        <item x="7"/>
        <item x="61"/>
        <item x="26"/>
        <item x="51"/>
        <item x="58"/>
        <item x="63"/>
        <item t="default"/>
      </items>
    </pivotField>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4">
    <i>
      <x v="2"/>
    </i>
    <i>
      <x v="1"/>
    </i>
    <i>
      <x/>
    </i>
    <i t="grand">
      <x/>
    </i>
  </rowItems>
  <colItems count="1">
    <i/>
  </colItems>
  <dataFields count="1">
    <dataField name="Sum of Units" fld="5" baseField="0" baseItem="0"/>
  </dataFields>
  <formats count="5">
    <format dxfId="306">
      <pivotArea type="all" dataOnly="0" outline="0" fieldPosition="0"/>
    </format>
    <format dxfId="305">
      <pivotArea outline="0" collapsedLevelsAreSubtotals="1" fieldPosition="0"/>
    </format>
    <format dxfId="304">
      <pivotArea field="2" type="button" dataOnly="0" labelOnly="1" outline="0"/>
    </format>
    <format dxfId="303">
      <pivotArea dataOnly="0" labelOnly="1" grandRow="1" outline="0" fieldPosition="0"/>
    </format>
    <format dxfId="302">
      <pivotArea dataOnly="0" labelOnly="1" outline="0" axis="axisValues" fieldPosition="0"/>
    </format>
  </formats>
  <chartFormats count="4">
    <chartFormat chart="28"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6" format="0"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0"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8DE561E-D7E0-43AE-AF4D-435020B6411F}" name="PIVOT 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1">
  <location ref="A1:B6" firstHeaderRow="1" firstDataRow="1" firstDataCol="1"/>
  <pivotFields count="9">
    <pivotField showAll="0">
      <items count="28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t="default"/>
      </items>
    </pivotField>
    <pivotField axis="axisRow" showAll="0" measureFilter="1" sortType="descending">
      <items count="8">
        <item x="4"/>
        <item x="2"/>
        <item x="1"/>
        <item x="3"/>
        <item x="5"/>
        <item x="0"/>
        <item x="6"/>
        <item t="default"/>
      </items>
      <autoSortScope>
        <pivotArea dataOnly="0" outline="0" fieldPosition="0">
          <references count="1">
            <reference field="4294967294" count="1" selected="0">
              <x v="0"/>
            </reference>
          </references>
        </pivotArea>
      </autoSortScope>
    </pivotField>
    <pivotField showAll="0" sortType="descending">
      <items count="8">
        <item x="2"/>
        <item x="0"/>
        <item x="4"/>
        <item x="1"/>
        <item x="3"/>
        <item x="5"/>
        <item x="6"/>
        <item t="default"/>
      </items>
      <autoSortScope>
        <pivotArea dataOnly="0" outline="0" fieldPosition="0">
          <references count="1">
            <reference field="4294967294" count="1" selected="0">
              <x v="0"/>
            </reference>
          </references>
        </pivotArea>
      </autoSortScope>
    </pivotField>
    <pivotField showAll="0">
      <items count="8">
        <item x="2"/>
        <item x="4"/>
        <item x="0"/>
        <item x="5"/>
        <item x="3"/>
        <item x="1"/>
        <item x="6"/>
        <item t="default"/>
      </items>
    </pivotField>
    <pivotField showAll="0">
      <items count="65">
        <item x="56"/>
        <item x="49"/>
        <item x="12"/>
        <item x="45"/>
        <item x="36"/>
        <item x="0"/>
        <item x="31"/>
        <item x="28"/>
        <item x="22"/>
        <item x="44"/>
        <item x="54"/>
        <item x="23"/>
        <item x="42"/>
        <item x="8"/>
        <item x="19"/>
        <item x="18"/>
        <item x="2"/>
        <item x="11"/>
        <item x="9"/>
        <item x="60"/>
        <item x="5"/>
        <item x="27"/>
        <item x="15"/>
        <item x="34"/>
        <item x="53"/>
        <item x="1"/>
        <item x="30"/>
        <item x="16"/>
        <item x="13"/>
        <item x="52"/>
        <item x="47"/>
        <item x="25"/>
        <item x="55"/>
        <item x="4"/>
        <item x="24"/>
        <item x="43"/>
        <item x="17"/>
        <item x="20"/>
        <item x="57"/>
        <item x="6"/>
        <item x="38"/>
        <item x="39"/>
        <item x="35"/>
        <item x="14"/>
        <item x="50"/>
        <item x="46"/>
        <item x="59"/>
        <item x="29"/>
        <item x="40"/>
        <item x="41"/>
        <item x="10"/>
        <item x="37"/>
        <item x="21"/>
        <item x="62"/>
        <item x="48"/>
        <item x="33"/>
        <item x="32"/>
        <item x="3"/>
        <item x="7"/>
        <item x="61"/>
        <item x="26"/>
        <item x="51"/>
        <item x="58"/>
        <item x="63"/>
        <item t="default"/>
      </items>
    </pivotField>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5">
    <i>
      <x v="4"/>
    </i>
    <i>
      <x v="5"/>
    </i>
    <i>
      <x v="3"/>
    </i>
    <i>
      <x v="6"/>
    </i>
    <i t="grand">
      <x/>
    </i>
  </rowItems>
  <colItems count="1">
    <i/>
  </colItems>
  <dataFields count="1">
    <dataField name="Sum of Units" fld="5" baseField="0" baseItem="0"/>
  </dataFields>
  <formats count="5">
    <format dxfId="301">
      <pivotArea type="all" dataOnly="0" outline="0" fieldPosition="0"/>
    </format>
    <format dxfId="300">
      <pivotArea outline="0" collapsedLevelsAreSubtotals="1" fieldPosition="0"/>
    </format>
    <format dxfId="299">
      <pivotArea field="2" type="button" dataOnly="0" labelOnly="1" outline="0"/>
    </format>
    <format dxfId="298">
      <pivotArea dataOnly="0" labelOnly="1" grandRow="1" outline="0" fieldPosition="0"/>
    </format>
    <format dxfId="297">
      <pivotArea dataOnly="0" labelOnly="1" outline="0" axis="axisValues" fieldPosition="0"/>
    </format>
  </formats>
  <chartFormats count="4">
    <chartFormat chart="28"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6" format="0"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4" iMeasureFld="0">
      <autoFilter ref="A1">
        <filterColumn colId="0">
          <top10 top="0" val="4" filterVal="4"/>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3ED3912-B9E2-4B3E-9763-EC6211C9ECFF}" name="PIVOT 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9">
  <location ref="A1:B9" firstHeaderRow="1" firstDataRow="1" firstDataCol="1"/>
  <pivotFields count="9">
    <pivotField showAll="0">
      <items count="28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t="default"/>
      </items>
    </pivotField>
    <pivotField axis="axisRow" showAll="0">
      <items count="8">
        <item x="4"/>
        <item x="2"/>
        <item x="1"/>
        <item x="3"/>
        <item x="5"/>
        <item x="0"/>
        <item x="6"/>
        <item t="default"/>
      </items>
    </pivotField>
    <pivotField showAll="0">
      <items count="8">
        <item x="2"/>
        <item x="0"/>
        <item x="4"/>
        <item x="1"/>
        <item x="3"/>
        <item x="5"/>
        <item x="6"/>
        <item t="default"/>
      </items>
    </pivotField>
    <pivotField showAll="0">
      <items count="8">
        <item x="2"/>
        <item x="4"/>
        <item x="0"/>
        <item x="5"/>
        <item x="3"/>
        <item x="1"/>
        <item x="6"/>
        <item t="default"/>
      </items>
    </pivotField>
    <pivotField showAll="0">
      <items count="65">
        <item x="56"/>
        <item x="49"/>
        <item x="12"/>
        <item x="45"/>
        <item x="36"/>
        <item x="0"/>
        <item x="31"/>
        <item x="28"/>
        <item x="22"/>
        <item x="44"/>
        <item x="54"/>
        <item x="23"/>
        <item x="42"/>
        <item x="8"/>
        <item x="19"/>
        <item x="18"/>
        <item x="2"/>
        <item x="11"/>
        <item x="9"/>
        <item x="60"/>
        <item x="5"/>
        <item x="27"/>
        <item x="15"/>
        <item x="34"/>
        <item x="53"/>
        <item x="1"/>
        <item x="30"/>
        <item x="16"/>
        <item x="13"/>
        <item x="52"/>
        <item x="47"/>
        <item x="25"/>
        <item x="55"/>
        <item x="4"/>
        <item x="24"/>
        <item x="43"/>
        <item x="17"/>
        <item x="20"/>
        <item x="57"/>
        <item x="6"/>
        <item x="38"/>
        <item x="39"/>
        <item x="35"/>
        <item x="14"/>
        <item x="50"/>
        <item x="46"/>
        <item x="59"/>
        <item x="29"/>
        <item x="40"/>
        <item x="41"/>
        <item x="10"/>
        <item x="37"/>
        <item x="21"/>
        <item x="62"/>
        <item x="48"/>
        <item x="33"/>
        <item x="32"/>
        <item x="3"/>
        <item x="7"/>
        <item x="61"/>
        <item x="26"/>
        <item x="51"/>
        <item x="58"/>
        <item x="63"/>
        <item t="default"/>
      </items>
    </pivotField>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8">
    <i>
      <x/>
    </i>
    <i>
      <x v="1"/>
    </i>
    <i>
      <x v="2"/>
    </i>
    <i>
      <x v="3"/>
    </i>
    <i>
      <x v="4"/>
    </i>
    <i>
      <x v="5"/>
    </i>
    <i>
      <x v="6"/>
    </i>
    <i t="grand">
      <x/>
    </i>
  </rowItems>
  <colItems count="1">
    <i/>
  </colItems>
  <dataFields count="1">
    <dataField name="Sum of Units" fld="5" baseField="0" baseItem="0"/>
  </dataFields>
  <chartFormats count="4">
    <chartFormat chart="27"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s" xr10:uid="{CD505301-B4AD-45D8-84C1-ACABEFA193E5}" sourceName="Products">
  <pivotTables>
    <pivotTable tabId="7" name="PivotTable1"/>
    <pivotTable tabId="9" name="PIVOT TABLE-3"/>
    <pivotTable tabId="9" name="PivotTable5"/>
    <pivotTable tabId="9" name="PivotTable6"/>
    <pivotTable tabId="8" name="PIVOT TABLE-2"/>
    <pivotTable tabId="13" name="PIVOT TABLE-6"/>
    <pivotTable tabId="18" name="PIVOT TABLE-9"/>
    <pivotTable tabId="19" name="PIVOT TABLE-7"/>
    <pivotTable tabId="17" name="PIVOT TABLE-8"/>
    <pivotTable tabId="7" name="PIVOT TABLE-1"/>
  </pivotTables>
  <data>
    <tabular pivotCacheId="929372591">
      <items count="7">
        <i x="2" s="1"/>
        <i x="4" s="1"/>
        <i x="1" s="1"/>
        <i x="3" s="1"/>
        <i x="5" s="1"/>
        <i x="0" s="1" nd="1"/>
        <i x="6"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ce" xr10:uid="{46A93E6E-8AB9-416A-8939-EE57F803F35F}" sourceName="Place">
  <pivotTables>
    <pivotTable tabId="7" name="PivotTable1"/>
    <pivotTable tabId="9" name="PIVOT TABLE-3"/>
    <pivotTable tabId="9" name="PivotTable5"/>
    <pivotTable tabId="9" name="PivotTable6"/>
    <pivotTable tabId="8" name="PIVOT TABLE-2"/>
    <pivotTable tabId="11" name="PIVOT TABLE-4"/>
    <pivotTable tabId="12" name="PIVOT TABLE -5"/>
    <pivotTable tabId="13" name="PIVOT TABLE-6"/>
    <pivotTable tabId="19" name="PIVOT TABLE-7"/>
    <pivotTable tabId="17" name="PIVOT TABLE-8"/>
    <pivotTable tabId="18" name="PIVOT TABLE-9"/>
    <pivotTable tabId="7" name="PIVOT TABLE-1"/>
  </pivotTables>
  <data>
    <tabular pivotCacheId="929372591">
      <items count="7">
        <i x="2" s="1"/>
        <i x="4" s="1"/>
        <i x="0" s="1"/>
        <i x="5" s="1"/>
        <i x="3" s="1"/>
        <i x="1" s="1"/>
        <i x="6"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s 1" xr10:uid="{2C1584C2-BEBE-4C24-96ED-1974AB8BA4C6}" cache="Slicer_Products" caption="Products" columnCount="6" rowHeight="241300"/>
  <slicer name="Place 1" xr10:uid="{16819706-5EC3-44FA-A903-D5DDDE4F2199}" cache="Slicer_Place" caption="Place" columnCount="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s 2" xr10:uid="{FA8CD525-B136-4F18-AB46-300922B122CF}" cache="Slicer_Products" caption="Products" columnCount="6" rowHeight="241300"/>
  <slicer name="Place 2" xr10:uid="{8C10A813-D304-4163-8BA5-7E2995F5C694}" cache="Slicer_Place" caption="Place" columnCount="2"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s 3" xr10:uid="{E8356ED3-4874-4977-9D7F-7CEFBAD7D8AD}" cache="Slicer_Products" caption="Products" columnCount="6" rowHeight="241300"/>
  <slicer name="Place 3" xr10:uid="{CAFFB643-E09D-4F61-BDCB-417BD96BD9C8}" cache="Slicer_Place" caption="Place" columnCount="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1" xr10:uid="{BCAC663A-09EC-4435-BF76-16F3FF5B6133}" sourceName="Date">
  <pivotTables>
    <pivotTable tabId="7" name="PivotTable1"/>
    <pivotTable tabId="9" name="PIVOT TABLE-3"/>
    <pivotTable tabId="9" name="PivotTable5"/>
    <pivotTable tabId="9" name="PivotTable6"/>
    <pivotTable tabId="8" name="PIVOT TABLE-2"/>
    <pivotTable tabId="11" name="PIVOT TABLE-4"/>
    <pivotTable tabId="12" name="PIVOT TABLE -5"/>
    <pivotTable tabId="13" name="PIVOT TABLE-6"/>
    <pivotTable tabId="19" name="PIVOT TABLE-7"/>
    <pivotTable tabId="17" name="PIVOT TABLE-8"/>
    <pivotTable tabId="18" name="PIVOT TABLE-9"/>
    <pivotTable tabId="7" name="PIVOT TABLE-1"/>
  </pivotTables>
  <state minimalRefreshVersion="6" lastRefreshVersion="6" pivotCacheId="929372591" filterType="unknown">
    <bounds startDate="2020-01-01T00:00:00" endDate="202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89C63343-8F41-49CA-9830-336A33BB4B71}" cache="NativeTimeline_Date1" caption="Date" level="2" selectionLevel="2" scrollPosition="2020-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2435A550-C1C5-4ECE-8347-4755880BC2AF}" cache="NativeTimeline_Date1" caption="Date" level="2" selectionLevel="2" scrollPosition="2020-01-01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3" xr10:uid="{EE4A8B02-6FF0-4342-829A-6D7D574CCFE9}" cache="NativeTimeline_Date1" caption="Date" level="2" selectionLevel="2" scrollPosition="2020-01-01T00:00:00"/>
</timeline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1.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0D218-EE24-4A4C-AD7F-5AC22CF7A8D6}">
  <dimension ref="A1:G279"/>
  <sheetViews>
    <sheetView zoomScale="148" zoomScaleNormal="98" workbookViewId="0">
      <selection activeCell="I10" sqref="I10"/>
    </sheetView>
  </sheetViews>
  <sheetFormatPr defaultRowHeight="15" x14ac:dyDescent="0.35"/>
  <cols>
    <col min="1" max="1" width="12.90625" style="1" bestFit="1" customWidth="1"/>
    <col min="2" max="4" width="8.7265625" style="1"/>
    <col min="5" max="6" width="8.81640625" style="1" bestFit="1" customWidth="1"/>
    <col min="7" max="7" width="11.6328125" style="1" bestFit="1" customWidth="1"/>
  </cols>
  <sheetData>
    <row r="1" spans="1:7" ht="18" x14ac:dyDescent="0.35">
      <c r="A1" s="2" t="s">
        <v>0</v>
      </c>
      <c r="B1" s="3" t="s">
        <v>1</v>
      </c>
      <c r="C1" s="3" t="s">
        <v>2</v>
      </c>
      <c r="D1" s="3" t="s">
        <v>3</v>
      </c>
      <c r="E1" s="3" t="s">
        <v>4</v>
      </c>
      <c r="F1" s="3" t="s">
        <v>5</v>
      </c>
      <c r="G1" s="3" t="s">
        <v>6</v>
      </c>
    </row>
    <row r="2" spans="1:7" ht="16" x14ac:dyDescent="0.35">
      <c r="A2" s="4">
        <v>43831</v>
      </c>
      <c r="B2" s="5" t="s">
        <v>7</v>
      </c>
      <c r="C2" s="5" t="s">
        <v>8</v>
      </c>
      <c r="D2" s="5" t="s">
        <v>9</v>
      </c>
      <c r="E2" s="5">
        <v>499</v>
      </c>
      <c r="F2" s="5">
        <v>50</v>
      </c>
      <c r="G2" s="6">
        <f t="shared" ref="G2:G65" si="0">E2*F2</f>
        <v>24950</v>
      </c>
    </row>
    <row r="3" spans="1:7" ht="16" x14ac:dyDescent="0.35">
      <c r="A3" s="7">
        <v>43835</v>
      </c>
      <c r="B3" s="8" t="s">
        <v>10</v>
      </c>
      <c r="C3" s="8" t="s">
        <v>8</v>
      </c>
      <c r="D3" s="8" t="s">
        <v>11</v>
      </c>
      <c r="E3" s="8">
        <v>5599</v>
      </c>
      <c r="F3" s="8">
        <v>33</v>
      </c>
      <c r="G3" s="9">
        <f t="shared" si="0"/>
        <v>184767</v>
      </c>
    </row>
    <row r="4" spans="1:7" ht="16" x14ac:dyDescent="0.35">
      <c r="A4" s="4">
        <v>43839</v>
      </c>
      <c r="B4" s="5" t="s">
        <v>12</v>
      </c>
      <c r="C4" s="5" t="s">
        <v>13</v>
      </c>
      <c r="D4" s="5" t="s">
        <v>14</v>
      </c>
      <c r="E4" s="5">
        <v>1450</v>
      </c>
      <c r="F4" s="5">
        <v>44</v>
      </c>
      <c r="G4" s="6">
        <f t="shared" si="0"/>
        <v>63800</v>
      </c>
    </row>
    <row r="5" spans="1:7" ht="16" x14ac:dyDescent="0.35">
      <c r="A5" s="4">
        <v>43840</v>
      </c>
      <c r="B5" s="8" t="s">
        <v>15</v>
      </c>
      <c r="C5" s="8" t="s">
        <v>16</v>
      </c>
      <c r="D5" s="8" t="s">
        <v>9</v>
      </c>
      <c r="E5" s="8">
        <v>85000</v>
      </c>
      <c r="F5" s="8">
        <v>50</v>
      </c>
      <c r="G5" s="9">
        <f t="shared" si="0"/>
        <v>4250000</v>
      </c>
    </row>
    <row r="6" spans="1:7" ht="16" x14ac:dyDescent="0.35">
      <c r="A6" s="4">
        <v>43841</v>
      </c>
      <c r="B6" s="5" t="s">
        <v>15</v>
      </c>
      <c r="C6" s="5" t="s">
        <v>17</v>
      </c>
      <c r="D6" s="5" t="s">
        <v>18</v>
      </c>
      <c r="E6" s="5">
        <v>15000</v>
      </c>
      <c r="F6" s="5">
        <v>11</v>
      </c>
      <c r="G6" s="6">
        <f t="shared" si="0"/>
        <v>165000</v>
      </c>
    </row>
    <row r="7" spans="1:7" ht="16" x14ac:dyDescent="0.35">
      <c r="A7" s="4">
        <v>43842</v>
      </c>
      <c r="B7" s="8" t="s">
        <v>10</v>
      </c>
      <c r="C7" s="8" t="s">
        <v>8</v>
      </c>
      <c r="D7" s="8" t="s">
        <v>18</v>
      </c>
      <c r="E7" s="8">
        <v>2550</v>
      </c>
      <c r="F7" s="8">
        <v>48</v>
      </c>
      <c r="G7" s="9">
        <f t="shared" si="0"/>
        <v>122400</v>
      </c>
    </row>
    <row r="8" spans="1:7" ht="16" x14ac:dyDescent="0.35">
      <c r="A8" s="4">
        <v>43843</v>
      </c>
      <c r="B8" s="5" t="s">
        <v>19</v>
      </c>
      <c r="C8" s="5" t="s">
        <v>20</v>
      </c>
      <c r="D8" s="5" t="s">
        <v>14</v>
      </c>
      <c r="E8" s="5">
        <v>33000</v>
      </c>
      <c r="F8" s="5">
        <v>26</v>
      </c>
      <c r="G8" s="6">
        <f t="shared" si="0"/>
        <v>858000</v>
      </c>
    </row>
    <row r="9" spans="1:7" ht="16" x14ac:dyDescent="0.35">
      <c r="A9" s="4">
        <v>43844</v>
      </c>
      <c r="B9" s="8" t="s">
        <v>7</v>
      </c>
      <c r="C9" s="8" t="s">
        <v>16</v>
      </c>
      <c r="D9" s="8" t="s">
        <v>21</v>
      </c>
      <c r="E9" s="8">
        <v>86000</v>
      </c>
      <c r="F9" s="8">
        <v>39</v>
      </c>
      <c r="G9" s="9">
        <f t="shared" si="0"/>
        <v>3354000</v>
      </c>
    </row>
    <row r="10" spans="1:7" ht="16" x14ac:dyDescent="0.35">
      <c r="A10" s="4">
        <v>43845</v>
      </c>
      <c r="B10" s="5" t="s">
        <v>12</v>
      </c>
      <c r="C10" s="5" t="s">
        <v>22</v>
      </c>
      <c r="D10" s="5" t="s">
        <v>18</v>
      </c>
      <c r="E10" s="5">
        <v>990</v>
      </c>
      <c r="F10" s="5">
        <v>9</v>
      </c>
      <c r="G10" s="6">
        <f t="shared" si="0"/>
        <v>8910</v>
      </c>
    </row>
    <row r="11" spans="1:7" ht="16" x14ac:dyDescent="0.35">
      <c r="A11" s="4">
        <v>43846</v>
      </c>
      <c r="B11" s="8" t="s">
        <v>7</v>
      </c>
      <c r="C11" s="8" t="s">
        <v>8</v>
      </c>
      <c r="D11" s="8" t="s">
        <v>9</v>
      </c>
      <c r="E11" s="8">
        <v>5599</v>
      </c>
      <c r="F11" s="8">
        <v>41</v>
      </c>
      <c r="G11" s="9">
        <f t="shared" si="0"/>
        <v>229559</v>
      </c>
    </row>
    <row r="12" spans="1:7" ht="16" x14ac:dyDescent="0.35">
      <c r="A12" s="4">
        <v>43847</v>
      </c>
      <c r="B12" s="5" t="s">
        <v>19</v>
      </c>
      <c r="C12" s="5" t="s">
        <v>20</v>
      </c>
      <c r="D12" s="5" t="s">
        <v>14</v>
      </c>
      <c r="E12" s="5">
        <v>499</v>
      </c>
      <c r="F12" s="5">
        <v>39</v>
      </c>
      <c r="G12" s="6">
        <f t="shared" si="0"/>
        <v>19461</v>
      </c>
    </row>
    <row r="13" spans="1:7" ht="16" x14ac:dyDescent="0.35">
      <c r="A13" s="4">
        <v>43848</v>
      </c>
      <c r="B13" s="8" t="s">
        <v>10</v>
      </c>
      <c r="C13" s="8" t="s">
        <v>22</v>
      </c>
      <c r="D13" s="8" t="s">
        <v>9</v>
      </c>
      <c r="E13" s="8">
        <v>1999</v>
      </c>
      <c r="F13" s="8">
        <v>4</v>
      </c>
      <c r="G13" s="9">
        <f t="shared" si="0"/>
        <v>7996</v>
      </c>
    </row>
    <row r="14" spans="1:7" ht="16" x14ac:dyDescent="0.35">
      <c r="A14" s="4">
        <v>43849</v>
      </c>
      <c r="B14" s="5" t="s">
        <v>15</v>
      </c>
      <c r="C14" s="5" t="s">
        <v>16</v>
      </c>
      <c r="D14" s="5" t="s">
        <v>9</v>
      </c>
      <c r="E14" s="5">
        <v>63400</v>
      </c>
      <c r="F14" s="5">
        <v>8</v>
      </c>
      <c r="G14" s="6">
        <f t="shared" si="0"/>
        <v>507200</v>
      </c>
    </row>
    <row r="15" spans="1:7" ht="16" x14ac:dyDescent="0.35">
      <c r="A15" s="4">
        <v>43850</v>
      </c>
      <c r="B15" s="8" t="s">
        <v>23</v>
      </c>
      <c r="C15" s="8" t="s">
        <v>22</v>
      </c>
      <c r="D15" s="8" t="s">
        <v>18</v>
      </c>
      <c r="E15" s="8">
        <v>1499</v>
      </c>
      <c r="F15" s="8">
        <v>27</v>
      </c>
      <c r="G15" s="9">
        <f t="shared" si="0"/>
        <v>40473</v>
      </c>
    </row>
    <row r="16" spans="1:7" ht="16" x14ac:dyDescent="0.35">
      <c r="A16" s="4">
        <v>43851</v>
      </c>
      <c r="B16" s="5" t="s">
        <v>15</v>
      </c>
      <c r="C16" s="5" t="s">
        <v>17</v>
      </c>
      <c r="D16" s="5" t="s">
        <v>14</v>
      </c>
      <c r="E16" s="5">
        <v>120</v>
      </c>
      <c r="F16" s="5">
        <v>10</v>
      </c>
      <c r="G16" s="6">
        <f t="shared" si="0"/>
        <v>1200</v>
      </c>
    </row>
    <row r="17" spans="1:7" ht="16" x14ac:dyDescent="0.35">
      <c r="A17" s="4">
        <v>43852</v>
      </c>
      <c r="B17" s="8" t="s">
        <v>10</v>
      </c>
      <c r="C17" s="8" t="s">
        <v>20</v>
      </c>
      <c r="D17" s="8" t="s">
        <v>21</v>
      </c>
      <c r="E17" s="8">
        <v>11999</v>
      </c>
      <c r="F17" s="8">
        <v>17</v>
      </c>
      <c r="G17" s="9">
        <f t="shared" si="0"/>
        <v>203983</v>
      </c>
    </row>
    <row r="18" spans="1:7" ht="16" x14ac:dyDescent="0.35">
      <c r="A18" s="4">
        <v>43853</v>
      </c>
      <c r="B18" s="5" t="s">
        <v>12</v>
      </c>
      <c r="C18" s="5" t="s">
        <v>16</v>
      </c>
      <c r="D18" s="5" t="s">
        <v>11</v>
      </c>
      <c r="E18" s="5">
        <v>47500</v>
      </c>
      <c r="F18" s="5">
        <v>27</v>
      </c>
      <c r="G18" s="6">
        <f t="shared" si="0"/>
        <v>1282500</v>
      </c>
    </row>
    <row r="19" spans="1:7" ht="16" x14ac:dyDescent="0.35">
      <c r="A19" s="4">
        <v>43854</v>
      </c>
      <c r="B19" s="8" t="s">
        <v>19</v>
      </c>
      <c r="C19" s="8" t="s">
        <v>20</v>
      </c>
      <c r="D19" s="8" t="s">
        <v>11</v>
      </c>
      <c r="E19" s="8">
        <v>2999</v>
      </c>
      <c r="F19" s="8">
        <v>43</v>
      </c>
      <c r="G19" s="9">
        <f t="shared" si="0"/>
        <v>128957</v>
      </c>
    </row>
    <row r="20" spans="1:7" ht="16" x14ac:dyDescent="0.35">
      <c r="A20" s="4">
        <v>43855</v>
      </c>
      <c r="B20" s="5" t="s">
        <v>15</v>
      </c>
      <c r="C20" s="5" t="s">
        <v>17</v>
      </c>
      <c r="D20" s="5" t="s">
        <v>11</v>
      </c>
      <c r="E20" s="5">
        <v>8900</v>
      </c>
      <c r="F20" s="5">
        <v>9</v>
      </c>
      <c r="G20" s="6">
        <f t="shared" si="0"/>
        <v>80100</v>
      </c>
    </row>
    <row r="21" spans="1:7" ht="16" x14ac:dyDescent="0.35">
      <c r="A21" s="4">
        <v>43856</v>
      </c>
      <c r="B21" s="8" t="s">
        <v>10</v>
      </c>
      <c r="C21" s="8" t="s">
        <v>20</v>
      </c>
      <c r="D21" s="8" t="s">
        <v>9</v>
      </c>
      <c r="E21" s="8">
        <v>22000</v>
      </c>
      <c r="F21" s="8">
        <v>42</v>
      </c>
      <c r="G21" s="9">
        <f t="shared" si="0"/>
        <v>924000</v>
      </c>
    </row>
    <row r="22" spans="1:7" ht="16" x14ac:dyDescent="0.35">
      <c r="A22" s="4">
        <v>43857</v>
      </c>
      <c r="B22" s="5" t="s">
        <v>12</v>
      </c>
      <c r="C22" s="5" t="s">
        <v>13</v>
      </c>
      <c r="D22" s="5" t="s">
        <v>11</v>
      </c>
      <c r="E22" s="5">
        <v>1250</v>
      </c>
      <c r="F22" s="5">
        <v>6</v>
      </c>
      <c r="G22" s="6">
        <f t="shared" si="0"/>
        <v>7500</v>
      </c>
    </row>
    <row r="23" spans="1:7" ht="16" x14ac:dyDescent="0.35">
      <c r="A23" s="4">
        <v>43858</v>
      </c>
      <c r="B23" s="8" t="s">
        <v>15</v>
      </c>
      <c r="C23" s="8" t="s">
        <v>17</v>
      </c>
      <c r="D23" s="8" t="s">
        <v>18</v>
      </c>
      <c r="E23" s="8">
        <v>999</v>
      </c>
      <c r="F23" s="8">
        <v>28</v>
      </c>
      <c r="G23" s="9">
        <f t="shared" si="0"/>
        <v>27972</v>
      </c>
    </row>
    <row r="24" spans="1:7" ht="16" x14ac:dyDescent="0.35">
      <c r="A24" s="4">
        <v>43859</v>
      </c>
      <c r="B24" s="5" t="s">
        <v>19</v>
      </c>
      <c r="C24" s="5" t="s">
        <v>13</v>
      </c>
      <c r="D24" s="5" t="s">
        <v>21</v>
      </c>
      <c r="E24" s="5">
        <v>1450</v>
      </c>
      <c r="F24" s="5">
        <v>13</v>
      </c>
      <c r="G24" s="6">
        <f t="shared" si="0"/>
        <v>18850</v>
      </c>
    </row>
    <row r="25" spans="1:7" ht="16" x14ac:dyDescent="0.35">
      <c r="A25" s="4">
        <v>43860</v>
      </c>
      <c r="B25" s="8" t="s">
        <v>19</v>
      </c>
      <c r="C25" s="8" t="s">
        <v>13</v>
      </c>
      <c r="D25" s="8" t="s">
        <v>14</v>
      </c>
      <c r="E25" s="8">
        <v>23999</v>
      </c>
      <c r="F25" s="8">
        <v>8</v>
      </c>
      <c r="G25" s="9">
        <f t="shared" si="0"/>
        <v>191992</v>
      </c>
    </row>
    <row r="26" spans="1:7" ht="16" x14ac:dyDescent="0.35">
      <c r="A26" s="4">
        <v>43861</v>
      </c>
      <c r="B26" s="5" t="s">
        <v>10</v>
      </c>
      <c r="C26" s="5" t="s">
        <v>16</v>
      </c>
      <c r="D26" s="5" t="s">
        <v>21</v>
      </c>
      <c r="E26" s="5">
        <v>65200</v>
      </c>
      <c r="F26" s="5">
        <v>7</v>
      </c>
      <c r="G26" s="6">
        <f t="shared" si="0"/>
        <v>456400</v>
      </c>
    </row>
    <row r="27" spans="1:7" ht="16" x14ac:dyDescent="0.35">
      <c r="A27" s="4">
        <v>43862</v>
      </c>
      <c r="B27" s="8" t="s">
        <v>10</v>
      </c>
      <c r="C27" s="8" t="s">
        <v>22</v>
      </c>
      <c r="D27" s="8" t="s">
        <v>11</v>
      </c>
      <c r="E27" s="8">
        <v>699</v>
      </c>
      <c r="F27" s="8">
        <v>45</v>
      </c>
      <c r="G27" s="9">
        <f t="shared" si="0"/>
        <v>31455</v>
      </c>
    </row>
    <row r="28" spans="1:7" ht="16" x14ac:dyDescent="0.35">
      <c r="A28" s="4">
        <v>43863</v>
      </c>
      <c r="B28" s="5" t="s">
        <v>7</v>
      </c>
      <c r="C28" s="5" t="s">
        <v>8</v>
      </c>
      <c r="D28" s="5" t="s">
        <v>9</v>
      </c>
      <c r="E28" s="5">
        <v>2550</v>
      </c>
      <c r="F28" s="5">
        <v>22</v>
      </c>
      <c r="G28" s="6">
        <f t="shared" si="0"/>
        <v>56100</v>
      </c>
    </row>
    <row r="29" spans="1:7" ht="16" x14ac:dyDescent="0.35">
      <c r="A29" s="4">
        <v>43864</v>
      </c>
      <c r="B29" s="8" t="s">
        <v>12</v>
      </c>
      <c r="C29" s="8" t="s">
        <v>20</v>
      </c>
      <c r="D29" s="8" t="s">
        <v>21</v>
      </c>
      <c r="E29" s="8">
        <v>22000</v>
      </c>
      <c r="F29" s="8">
        <v>4</v>
      </c>
      <c r="G29" s="9">
        <f t="shared" si="0"/>
        <v>88000</v>
      </c>
    </row>
    <row r="30" spans="1:7" ht="16" x14ac:dyDescent="0.35">
      <c r="A30" s="4">
        <v>43865</v>
      </c>
      <c r="B30" s="5" t="s">
        <v>19</v>
      </c>
      <c r="C30" s="5" t="s">
        <v>16</v>
      </c>
      <c r="D30" s="5" t="s">
        <v>9</v>
      </c>
      <c r="E30" s="5">
        <v>22000</v>
      </c>
      <c r="F30" s="5">
        <v>10</v>
      </c>
      <c r="G30" s="6">
        <f t="shared" si="0"/>
        <v>220000</v>
      </c>
    </row>
    <row r="31" spans="1:7" ht="16" x14ac:dyDescent="0.35">
      <c r="A31" s="4">
        <v>43866</v>
      </c>
      <c r="B31" s="8" t="s">
        <v>23</v>
      </c>
      <c r="C31" s="8" t="s">
        <v>22</v>
      </c>
      <c r="D31" s="8" t="s">
        <v>18</v>
      </c>
      <c r="E31" s="8">
        <v>1499</v>
      </c>
      <c r="F31" s="8">
        <v>16</v>
      </c>
      <c r="G31" s="9">
        <f t="shared" si="0"/>
        <v>23984</v>
      </c>
    </row>
    <row r="32" spans="1:7" ht="16" x14ac:dyDescent="0.35">
      <c r="A32" s="4">
        <v>43867</v>
      </c>
      <c r="B32" s="5" t="s">
        <v>10</v>
      </c>
      <c r="C32" s="5" t="s">
        <v>17</v>
      </c>
      <c r="D32" s="5" t="s">
        <v>21</v>
      </c>
      <c r="E32" s="5">
        <v>120</v>
      </c>
      <c r="F32" s="5">
        <v>22</v>
      </c>
      <c r="G32" s="6">
        <f t="shared" si="0"/>
        <v>2640</v>
      </c>
    </row>
    <row r="33" spans="1:7" ht="16" x14ac:dyDescent="0.35">
      <c r="A33" s="4">
        <v>43868</v>
      </c>
      <c r="B33" s="8" t="s">
        <v>7</v>
      </c>
      <c r="C33" s="8" t="s">
        <v>8</v>
      </c>
      <c r="D33" s="8" t="s">
        <v>14</v>
      </c>
      <c r="E33" s="8">
        <v>1450</v>
      </c>
      <c r="F33" s="8">
        <v>20</v>
      </c>
      <c r="G33" s="9">
        <f t="shared" si="0"/>
        <v>29000</v>
      </c>
    </row>
    <row r="34" spans="1:7" ht="16" x14ac:dyDescent="0.35">
      <c r="A34" s="4">
        <v>43869</v>
      </c>
      <c r="B34" s="5" t="s">
        <v>23</v>
      </c>
      <c r="C34" s="5" t="s">
        <v>22</v>
      </c>
      <c r="D34" s="5" t="s">
        <v>18</v>
      </c>
      <c r="E34" s="5">
        <v>1999</v>
      </c>
      <c r="F34" s="5">
        <v>23</v>
      </c>
      <c r="G34" s="6">
        <f t="shared" si="0"/>
        <v>45977</v>
      </c>
    </row>
    <row r="35" spans="1:7" ht="16" x14ac:dyDescent="0.35">
      <c r="A35" s="4">
        <v>43870</v>
      </c>
      <c r="B35" s="8" t="s">
        <v>10</v>
      </c>
      <c r="C35" s="8" t="s">
        <v>8</v>
      </c>
      <c r="D35" s="8" t="s">
        <v>9</v>
      </c>
      <c r="E35" s="8">
        <v>800</v>
      </c>
      <c r="F35" s="8">
        <v>43</v>
      </c>
      <c r="G35" s="9">
        <f t="shared" si="0"/>
        <v>34400</v>
      </c>
    </row>
    <row r="36" spans="1:7" ht="16" x14ac:dyDescent="0.35">
      <c r="A36" s="4">
        <v>43871</v>
      </c>
      <c r="B36" s="5" t="s">
        <v>12</v>
      </c>
      <c r="C36" s="5" t="s">
        <v>17</v>
      </c>
      <c r="D36" s="5" t="s">
        <v>18</v>
      </c>
      <c r="E36" s="5">
        <v>18000</v>
      </c>
      <c r="F36" s="5">
        <v>41</v>
      </c>
      <c r="G36" s="6">
        <f t="shared" si="0"/>
        <v>738000</v>
      </c>
    </row>
    <row r="37" spans="1:7" ht="16" x14ac:dyDescent="0.35">
      <c r="A37" s="4">
        <v>43872</v>
      </c>
      <c r="B37" s="8" t="s">
        <v>7</v>
      </c>
      <c r="C37" s="8" t="s">
        <v>8</v>
      </c>
      <c r="D37" s="8" t="s">
        <v>11</v>
      </c>
      <c r="E37" s="8">
        <v>13999</v>
      </c>
      <c r="F37" s="8">
        <v>37</v>
      </c>
      <c r="G37" s="9">
        <f t="shared" si="0"/>
        <v>517963</v>
      </c>
    </row>
    <row r="38" spans="1:7" ht="16" x14ac:dyDescent="0.35">
      <c r="A38" s="4">
        <v>43873</v>
      </c>
      <c r="B38" s="5" t="s">
        <v>10</v>
      </c>
      <c r="C38" s="5" t="s">
        <v>20</v>
      </c>
      <c r="D38" s="5" t="s">
        <v>18</v>
      </c>
      <c r="E38" s="5">
        <v>22000</v>
      </c>
      <c r="F38" s="5">
        <v>45</v>
      </c>
      <c r="G38" s="6">
        <f t="shared" si="0"/>
        <v>990000</v>
      </c>
    </row>
    <row r="39" spans="1:7" ht="16" x14ac:dyDescent="0.35">
      <c r="A39" s="4">
        <v>43874</v>
      </c>
      <c r="B39" s="8" t="s">
        <v>19</v>
      </c>
      <c r="C39" s="8" t="s">
        <v>16</v>
      </c>
      <c r="D39" s="8" t="s">
        <v>9</v>
      </c>
      <c r="E39" s="8">
        <v>89999</v>
      </c>
      <c r="F39" s="8">
        <v>15</v>
      </c>
      <c r="G39" s="9">
        <f t="shared" si="0"/>
        <v>1349985</v>
      </c>
    </row>
    <row r="40" spans="1:7" ht="16" x14ac:dyDescent="0.35">
      <c r="A40" s="4">
        <v>43875</v>
      </c>
      <c r="B40" s="5" t="s">
        <v>7</v>
      </c>
      <c r="C40" s="5" t="s">
        <v>8</v>
      </c>
      <c r="D40" s="5" t="s">
        <v>14</v>
      </c>
      <c r="E40" s="5">
        <v>13999</v>
      </c>
      <c r="F40" s="5">
        <v>22</v>
      </c>
      <c r="G40" s="6">
        <f t="shared" si="0"/>
        <v>307978</v>
      </c>
    </row>
    <row r="41" spans="1:7" ht="16" x14ac:dyDescent="0.35">
      <c r="A41" s="4">
        <v>43876</v>
      </c>
      <c r="B41" s="8" t="s">
        <v>12</v>
      </c>
      <c r="C41" s="8" t="s">
        <v>22</v>
      </c>
      <c r="D41" s="8" t="s">
        <v>11</v>
      </c>
      <c r="E41" s="8">
        <v>2900</v>
      </c>
      <c r="F41" s="8">
        <v>20</v>
      </c>
      <c r="G41" s="9">
        <f t="shared" si="0"/>
        <v>58000</v>
      </c>
    </row>
    <row r="42" spans="1:7" ht="16" x14ac:dyDescent="0.35">
      <c r="A42" s="4">
        <v>43877</v>
      </c>
      <c r="B42" s="5" t="s">
        <v>10</v>
      </c>
      <c r="C42" s="5" t="s">
        <v>20</v>
      </c>
      <c r="D42" s="5" t="s">
        <v>18</v>
      </c>
      <c r="E42" s="5">
        <v>33000</v>
      </c>
      <c r="F42" s="5">
        <v>16</v>
      </c>
      <c r="G42" s="6">
        <f t="shared" si="0"/>
        <v>528000</v>
      </c>
    </row>
    <row r="43" spans="1:7" ht="16" x14ac:dyDescent="0.35">
      <c r="A43" s="4">
        <v>43878</v>
      </c>
      <c r="B43" s="8" t="s">
        <v>12</v>
      </c>
      <c r="C43" s="8" t="s">
        <v>20</v>
      </c>
      <c r="D43" s="8" t="s">
        <v>11</v>
      </c>
      <c r="E43" s="8">
        <v>22000</v>
      </c>
      <c r="F43" s="8">
        <v>17</v>
      </c>
      <c r="G43" s="9">
        <f t="shared" si="0"/>
        <v>374000</v>
      </c>
    </row>
    <row r="44" spans="1:7" ht="16" x14ac:dyDescent="0.35">
      <c r="A44" s="4">
        <v>43879</v>
      </c>
      <c r="B44" s="5" t="s">
        <v>23</v>
      </c>
      <c r="C44" s="5" t="s">
        <v>22</v>
      </c>
      <c r="D44" s="5" t="s">
        <v>11</v>
      </c>
      <c r="E44" s="5">
        <v>699</v>
      </c>
      <c r="F44" s="5">
        <v>50</v>
      </c>
      <c r="G44" s="6">
        <f t="shared" si="0"/>
        <v>34950</v>
      </c>
    </row>
    <row r="45" spans="1:7" ht="16" x14ac:dyDescent="0.35">
      <c r="A45" s="4">
        <v>43880</v>
      </c>
      <c r="B45" s="8" t="s">
        <v>19</v>
      </c>
      <c r="C45" s="8" t="s">
        <v>20</v>
      </c>
      <c r="D45" s="8" t="s">
        <v>14</v>
      </c>
      <c r="E45" s="8">
        <v>499</v>
      </c>
      <c r="F45" s="8">
        <v>4</v>
      </c>
      <c r="G45" s="9">
        <f t="shared" si="0"/>
        <v>1996</v>
      </c>
    </row>
    <row r="46" spans="1:7" ht="16" x14ac:dyDescent="0.35">
      <c r="A46" s="4">
        <v>43881</v>
      </c>
      <c r="B46" s="5" t="s">
        <v>10</v>
      </c>
      <c r="C46" s="5" t="s">
        <v>22</v>
      </c>
      <c r="D46" s="5" t="s">
        <v>18</v>
      </c>
      <c r="E46" s="5">
        <v>590</v>
      </c>
      <c r="F46" s="5">
        <v>43</v>
      </c>
      <c r="G46" s="6">
        <f t="shared" si="0"/>
        <v>25370</v>
      </c>
    </row>
    <row r="47" spans="1:7" ht="16" x14ac:dyDescent="0.35">
      <c r="A47" s="4">
        <v>43882</v>
      </c>
      <c r="B47" s="8" t="s">
        <v>23</v>
      </c>
      <c r="C47" s="8" t="s">
        <v>22</v>
      </c>
      <c r="D47" s="8" t="s">
        <v>11</v>
      </c>
      <c r="E47" s="8">
        <v>590</v>
      </c>
      <c r="F47" s="8">
        <v>42</v>
      </c>
      <c r="G47" s="9">
        <f t="shared" si="0"/>
        <v>24780</v>
      </c>
    </row>
    <row r="48" spans="1:7" ht="16" x14ac:dyDescent="0.35">
      <c r="A48" s="4">
        <v>43883</v>
      </c>
      <c r="B48" s="5" t="s">
        <v>10</v>
      </c>
      <c r="C48" s="5" t="s">
        <v>16</v>
      </c>
      <c r="D48" s="5" t="s">
        <v>9</v>
      </c>
      <c r="E48" s="5">
        <v>120</v>
      </c>
      <c r="F48" s="5">
        <v>9</v>
      </c>
      <c r="G48" s="6">
        <f t="shared" si="0"/>
        <v>1080</v>
      </c>
    </row>
    <row r="49" spans="1:7" ht="16" x14ac:dyDescent="0.35">
      <c r="A49" s="4">
        <v>43884</v>
      </c>
      <c r="B49" s="8" t="s">
        <v>19</v>
      </c>
      <c r="C49" s="8" t="s">
        <v>20</v>
      </c>
      <c r="D49" s="8" t="s">
        <v>21</v>
      </c>
      <c r="E49" s="8">
        <v>52000</v>
      </c>
      <c r="F49" s="8">
        <v>40</v>
      </c>
      <c r="G49" s="9">
        <f t="shared" si="0"/>
        <v>2080000</v>
      </c>
    </row>
    <row r="50" spans="1:7" ht="16" x14ac:dyDescent="0.35">
      <c r="A50" s="4">
        <v>43885</v>
      </c>
      <c r="B50" s="5" t="s">
        <v>12</v>
      </c>
      <c r="C50" s="5" t="s">
        <v>13</v>
      </c>
      <c r="D50" s="5" t="s">
        <v>18</v>
      </c>
      <c r="E50" s="5">
        <v>7999</v>
      </c>
      <c r="F50" s="5">
        <v>14</v>
      </c>
      <c r="G50" s="6">
        <f t="shared" si="0"/>
        <v>111986</v>
      </c>
    </row>
    <row r="51" spans="1:7" ht="16" x14ac:dyDescent="0.35">
      <c r="A51" s="4">
        <v>43886</v>
      </c>
      <c r="B51" s="8" t="s">
        <v>10</v>
      </c>
      <c r="C51" s="8" t="s">
        <v>13</v>
      </c>
      <c r="D51" s="8" t="s">
        <v>21</v>
      </c>
      <c r="E51" s="8">
        <v>550</v>
      </c>
      <c r="F51" s="8">
        <v>9</v>
      </c>
      <c r="G51" s="9">
        <f t="shared" si="0"/>
        <v>4950</v>
      </c>
    </row>
    <row r="52" spans="1:7" ht="16" x14ac:dyDescent="0.35">
      <c r="A52" s="4">
        <v>43887</v>
      </c>
      <c r="B52" s="5" t="s">
        <v>12</v>
      </c>
      <c r="C52" s="5" t="s">
        <v>16</v>
      </c>
      <c r="D52" s="5" t="s">
        <v>18</v>
      </c>
      <c r="E52" s="5">
        <v>79999</v>
      </c>
      <c r="F52" s="5">
        <v>10</v>
      </c>
      <c r="G52" s="6">
        <f t="shared" si="0"/>
        <v>799990</v>
      </c>
    </row>
    <row r="53" spans="1:7" ht="16" x14ac:dyDescent="0.35">
      <c r="A53" s="4">
        <v>43888</v>
      </c>
      <c r="B53" s="8" t="s">
        <v>23</v>
      </c>
      <c r="C53" s="8" t="s">
        <v>22</v>
      </c>
      <c r="D53" s="8" t="s">
        <v>18</v>
      </c>
      <c r="E53" s="8">
        <v>1999</v>
      </c>
      <c r="F53" s="8">
        <v>37</v>
      </c>
      <c r="G53" s="9">
        <f t="shared" si="0"/>
        <v>73963</v>
      </c>
    </row>
    <row r="54" spans="1:7" ht="16" x14ac:dyDescent="0.35">
      <c r="A54" s="4">
        <v>43889</v>
      </c>
      <c r="B54" s="5" t="s">
        <v>19</v>
      </c>
      <c r="C54" s="5" t="s">
        <v>20</v>
      </c>
      <c r="D54" s="5" t="s">
        <v>14</v>
      </c>
      <c r="E54" s="5">
        <v>89999</v>
      </c>
      <c r="F54" s="5">
        <v>29</v>
      </c>
      <c r="G54" s="6">
        <f t="shared" si="0"/>
        <v>2609971</v>
      </c>
    </row>
    <row r="55" spans="1:7" ht="16" x14ac:dyDescent="0.35">
      <c r="A55" s="4">
        <v>43890</v>
      </c>
      <c r="B55" s="8" t="s">
        <v>10</v>
      </c>
      <c r="C55" s="8" t="s">
        <v>16</v>
      </c>
      <c r="D55" s="8" t="s">
        <v>18</v>
      </c>
      <c r="E55" s="8">
        <v>78500</v>
      </c>
      <c r="F55" s="8">
        <v>44</v>
      </c>
      <c r="G55" s="9">
        <f t="shared" si="0"/>
        <v>3454000</v>
      </c>
    </row>
    <row r="56" spans="1:7" ht="16" x14ac:dyDescent="0.35">
      <c r="A56" s="4">
        <v>43891</v>
      </c>
      <c r="B56" s="5" t="s">
        <v>19</v>
      </c>
      <c r="C56" s="5" t="s">
        <v>20</v>
      </c>
      <c r="D56" s="5" t="s">
        <v>11</v>
      </c>
      <c r="E56" s="5">
        <v>3990</v>
      </c>
      <c r="F56" s="5">
        <v>31</v>
      </c>
      <c r="G56" s="6">
        <f t="shared" si="0"/>
        <v>123690</v>
      </c>
    </row>
    <row r="57" spans="1:7" ht="16" x14ac:dyDescent="0.35">
      <c r="A57" s="4">
        <v>43892</v>
      </c>
      <c r="B57" s="8" t="s">
        <v>12</v>
      </c>
      <c r="C57" s="8" t="s">
        <v>20</v>
      </c>
      <c r="D57" s="8" t="s">
        <v>18</v>
      </c>
      <c r="E57" s="8">
        <v>52000</v>
      </c>
      <c r="F57" s="8">
        <v>29</v>
      </c>
      <c r="G57" s="9">
        <f t="shared" si="0"/>
        <v>1508000</v>
      </c>
    </row>
    <row r="58" spans="1:7" ht="16" x14ac:dyDescent="0.35">
      <c r="A58" s="4">
        <v>43893</v>
      </c>
      <c r="B58" s="5" t="s">
        <v>7</v>
      </c>
      <c r="C58" s="5" t="s">
        <v>16</v>
      </c>
      <c r="D58" s="5" t="s">
        <v>18</v>
      </c>
      <c r="E58" s="5">
        <v>13999</v>
      </c>
      <c r="F58" s="5">
        <v>34</v>
      </c>
      <c r="G58" s="6">
        <f t="shared" si="0"/>
        <v>475966</v>
      </c>
    </row>
    <row r="59" spans="1:7" ht="16" x14ac:dyDescent="0.35">
      <c r="A59" s="4">
        <v>43894</v>
      </c>
      <c r="B59" s="8" t="s">
        <v>10</v>
      </c>
      <c r="C59" s="8" t="s">
        <v>17</v>
      </c>
      <c r="D59" s="8" t="s">
        <v>11</v>
      </c>
      <c r="E59" s="8">
        <v>120</v>
      </c>
      <c r="F59" s="8">
        <v>29</v>
      </c>
      <c r="G59" s="9">
        <f t="shared" si="0"/>
        <v>3480</v>
      </c>
    </row>
    <row r="60" spans="1:7" ht="16" x14ac:dyDescent="0.35">
      <c r="A60" s="4">
        <v>43895</v>
      </c>
      <c r="B60" s="5" t="s">
        <v>19</v>
      </c>
      <c r="C60" s="5" t="s">
        <v>13</v>
      </c>
      <c r="D60" s="5" t="s">
        <v>11</v>
      </c>
      <c r="E60" s="5">
        <v>23999</v>
      </c>
      <c r="F60" s="5">
        <v>25</v>
      </c>
      <c r="G60" s="6">
        <f t="shared" si="0"/>
        <v>599975</v>
      </c>
    </row>
    <row r="61" spans="1:7" ht="16" x14ac:dyDescent="0.35">
      <c r="A61" s="4">
        <v>43896</v>
      </c>
      <c r="B61" s="8" t="s">
        <v>19</v>
      </c>
      <c r="C61" s="8" t="s">
        <v>16</v>
      </c>
      <c r="D61" s="8" t="s">
        <v>18</v>
      </c>
      <c r="E61" s="8">
        <v>45000</v>
      </c>
      <c r="F61" s="8">
        <v>31</v>
      </c>
      <c r="G61" s="9">
        <f t="shared" si="0"/>
        <v>1395000</v>
      </c>
    </row>
    <row r="62" spans="1:7" ht="16" x14ac:dyDescent="0.35">
      <c r="A62" s="4">
        <v>43897</v>
      </c>
      <c r="B62" s="5" t="s">
        <v>10</v>
      </c>
      <c r="C62" s="5" t="s">
        <v>22</v>
      </c>
      <c r="D62" s="5" t="s">
        <v>11</v>
      </c>
      <c r="E62" s="5">
        <v>450</v>
      </c>
      <c r="F62" s="5">
        <v>16</v>
      </c>
      <c r="G62" s="6">
        <f t="shared" si="0"/>
        <v>7200</v>
      </c>
    </row>
    <row r="63" spans="1:7" ht="16" x14ac:dyDescent="0.35">
      <c r="A63" s="4">
        <v>43898</v>
      </c>
      <c r="B63" s="8" t="s">
        <v>15</v>
      </c>
      <c r="C63" s="8" t="s">
        <v>17</v>
      </c>
      <c r="D63" s="8" t="s">
        <v>18</v>
      </c>
      <c r="E63" s="8">
        <v>65000</v>
      </c>
      <c r="F63" s="8">
        <v>48</v>
      </c>
      <c r="G63" s="9">
        <f t="shared" si="0"/>
        <v>3120000</v>
      </c>
    </row>
    <row r="64" spans="1:7" ht="16" x14ac:dyDescent="0.35">
      <c r="A64" s="4">
        <v>43899</v>
      </c>
      <c r="B64" s="5" t="s">
        <v>12</v>
      </c>
      <c r="C64" s="5" t="s">
        <v>16</v>
      </c>
      <c r="D64" s="5" t="s">
        <v>21</v>
      </c>
      <c r="E64" s="5">
        <v>35600</v>
      </c>
      <c r="F64" s="5">
        <v>22</v>
      </c>
      <c r="G64" s="6">
        <f t="shared" si="0"/>
        <v>783200</v>
      </c>
    </row>
    <row r="65" spans="1:7" ht="16" x14ac:dyDescent="0.35">
      <c r="A65" s="4">
        <v>43900</v>
      </c>
      <c r="B65" s="8" t="s">
        <v>23</v>
      </c>
      <c r="C65" s="8" t="s">
        <v>22</v>
      </c>
      <c r="D65" s="8" t="s">
        <v>14</v>
      </c>
      <c r="E65" s="8">
        <v>699</v>
      </c>
      <c r="F65" s="8">
        <v>6</v>
      </c>
      <c r="G65" s="9">
        <f t="shared" si="0"/>
        <v>4194</v>
      </c>
    </row>
    <row r="66" spans="1:7" ht="16" x14ac:dyDescent="0.35">
      <c r="A66" s="4">
        <v>43901</v>
      </c>
      <c r="B66" s="5" t="s">
        <v>10</v>
      </c>
      <c r="C66" s="5" t="s">
        <v>22</v>
      </c>
      <c r="D66" s="5" t="s">
        <v>11</v>
      </c>
      <c r="E66" s="5">
        <v>990</v>
      </c>
      <c r="F66" s="5">
        <v>12</v>
      </c>
      <c r="G66" s="6">
        <f t="shared" ref="G66:G129" si="1">E66*F66</f>
        <v>11880</v>
      </c>
    </row>
    <row r="67" spans="1:7" ht="16" x14ac:dyDescent="0.35">
      <c r="A67" s="4">
        <v>43902</v>
      </c>
      <c r="B67" s="8" t="s">
        <v>23</v>
      </c>
      <c r="C67" s="8" t="s">
        <v>16</v>
      </c>
      <c r="D67" s="8" t="s">
        <v>9</v>
      </c>
      <c r="E67" s="8">
        <v>450</v>
      </c>
      <c r="F67" s="8">
        <v>44</v>
      </c>
      <c r="G67" s="9">
        <f t="shared" si="1"/>
        <v>19800</v>
      </c>
    </row>
    <row r="68" spans="1:7" ht="16" x14ac:dyDescent="0.35">
      <c r="A68" s="4">
        <v>43903</v>
      </c>
      <c r="B68" s="5" t="s">
        <v>23</v>
      </c>
      <c r="C68" s="5" t="s">
        <v>22</v>
      </c>
      <c r="D68" s="5" t="s">
        <v>14</v>
      </c>
      <c r="E68" s="5">
        <v>1499</v>
      </c>
      <c r="F68" s="5">
        <v>15</v>
      </c>
      <c r="G68" s="6">
        <f t="shared" si="1"/>
        <v>22485</v>
      </c>
    </row>
    <row r="69" spans="1:7" ht="16" x14ac:dyDescent="0.35">
      <c r="A69" s="4">
        <v>43904</v>
      </c>
      <c r="B69" s="8" t="s">
        <v>7</v>
      </c>
      <c r="C69" s="8" t="s">
        <v>8</v>
      </c>
      <c r="D69" s="8" t="s">
        <v>21</v>
      </c>
      <c r="E69" s="8">
        <v>499</v>
      </c>
      <c r="F69" s="8">
        <v>26</v>
      </c>
      <c r="G69" s="9">
        <f t="shared" si="1"/>
        <v>12974</v>
      </c>
    </row>
    <row r="70" spans="1:7" ht="16" x14ac:dyDescent="0.35">
      <c r="A70" s="4">
        <v>43905</v>
      </c>
      <c r="B70" s="5" t="s">
        <v>12</v>
      </c>
      <c r="C70" s="5" t="s">
        <v>16</v>
      </c>
      <c r="D70" s="5" t="s">
        <v>21</v>
      </c>
      <c r="E70" s="5">
        <v>44000</v>
      </c>
      <c r="F70" s="5">
        <v>16</v>
      </c>
      <c r="G70" s="6">
        <f t="shared" si="1"/>
        <v>704000</v>
      </c>
    </row>
    <row r="71" spans="1:7" ht="16" x14ac:dyDescent="0.35">
      <c r="A71" s="4">
        <v>43906</v>
      </c>
      <c r="B71" s="8" t="s">
        <v>7</v>
      </c>
      <c r="C71" s="8" t="s">
        <v>8</v>
      </c>
      <c r="D71" s="8" t="s">
        <v>18</v>
      </c>
      <c r="E71" s="8">
        <v>5599</v>
      </c>
      <c r="F71" s="8">
        <v>35</v>
      </c>
      <c r="G71" s="9">
        <f t="shared" si="1"/>
        <v>195965</v>
      </c>
    </row>
    <row r="72" spans="1:7" ht="16" x14ac:dyDescent="0.35">
      <c r="A72" s="4">
        <v>43907</v>
      </c>
      <c r="B72" s="5" t="s">
        <v>15</v>
      </c>
      <c r="C72" s="5" t="s">
        <v>16</v>
      </c>
      <c r="D72" s="5" t="s">
        <v>9</v>
      </c>
      <c r="E72" s="5">
        <v>54100</v>
      </c>
      <c r="F72" s="5">
        <v>36</v>
      </c>
      <c r="G72" s="6">
        <f t="shared" si="1"/>
        <v>1947600</v>
      </c>
    </row>
    <row r="73" spans="1:7" ht="16" x14ac:dyDescent="0.35">
      <c r="A73" s="4">
        <v>43908</v>
      </c>
      <c r="B73" s="8" t="s">
        <v>7</v>
      </c>
      <c r="C73" s="8" t="s">
        <v>8</v>
      </c>
      <c r="D73" s="8" t="s">
        <v>14</v>
      </c>
      <c r="E73" s="8">
        <v>2550</v>
      </c>
      <c r="F73" s="8">
        <v>20</v>
      </c>
      <c r="G73" s="9">
        <f t="shared" si="1"/>
        <v>51000</v>
      </c>
    </row>
    <row r="74" spans="1:7" ht="16" x14ac:dyDescent="0.35">
      <c r="A74" s="4">
        <v>43909</v>
      </c>
      <c r="B74" s="5" t="s">
        <v>10</v>
      </c>
      <c r="C74" s="5" t="s">
        <v>16</v>
      </c>
      <c r="D74" s="5" t="s">
        <v>14</v>
      </c>
      <c r="E74" s="5">
        <v>1450</v>
      </c>
      <c r="F74" s="5">
        <v>47</v>
      </c>
      <c r="G74" s="6">
        <f t="shared" si="1"/>
        <v>68150</v>
      </c>
    </row>
    <row r="75" spans="1:7" ht="16" x14ac:dyDescent="0.35">
      <c r="A75" s="4">
        <v>43910</v>
      </c>
      <c r="B75" s="8" t="s">
        <v>23</v>
      </c>
      <c r="C75" s="8" t="s">
        <v>22</v>
      </c>
      <c r="D75" s="8" t="s">
        <v>18</v>
      </c>
      <c r="E75" s="8">
        <v>2900</v>
      </c>
      <c r="F75" s="8">
        <v>6</v>
      </c>
      <c r="G75" s="9">
        <f t="shared" si="1"/>
        <v>17400</v>
      </c>
    </row>
    <row r="76" spans="1:7" ht="16" x14ac:dyDescent="0.35">
      <c r="A76" s="4">
        <v>43911</v>
      </c>
      <c r="B76" s="5" t="s">
        <v>15</v>
      </c>
      <c r="C76" s="5" t="s">
        <v>16</v>
      </c>
      <c r="D76" s="5" t="s">
        <v>21</v>
      </c>
      <c r="E76" s="5">
        <v>65200</v>
      </c>
      <c r="F76" s="5">
        <v>6</v>
      </c>
      <c r="G76" s="6">
        <f t="shared" si="1"/>
        <v>391200</v>
      </c>
    </row>
    <row r="77" spans="1:7" ht="16" x14ac:dyDescent="0.35">
      <c r="A77" s="4">
        <v>43912</v>
      </c>
      <c r="B77" s="8" t="s">
        <v>10</v>
      </c>
      <c r="C77" s="8" t="s">
        <v>20</v>
      </c>
      <c r="D77" s="8" t="s">
        <v>21</v>
      </c>
      <c r="E77" s="8">
        <v>52000</v>
      </c>
      <c r="F77" s="8">
        <v>41</v>
      </c>
      <c r="G77" s="9">
        <f t="shared" si="1"/>
        <v>2132000</v>
      </c>
    </row>
    <row r="78" spans="1:7" ht="16" x14ac:dyDescent="0.35">
      <c r="A78" s="4">
        <v>43913</v>
      </c>
      <c r="B78" s="5" t="s">
        <v>12</v>
      </c>
      <c r="C78" s="5" t="s">
        <v>16</v>
      </c>
      <c r="D78" s="5" t="s">
        <v>11</v>
      </c>
      <c r="E78" s="5">
        <v>59000</v>
      </c>
      <c r="F78" s="5">
        <v>29</v>
      </c>
      <c r="G78" s="6">
        <f t="shared" si="1"/>
        <v>1711000</v>
      </c>
    </row>
    <row r="79" spans="1:7" ht="16" x14ac:dyDescent="0.35">
      <c r="A79" s="4">
        <v>43914</v>
      </c>
      <c r="B79" s="8" t="s">
        <v>19</v>
      </c>
      <c r="C79" s="8" t="s">
        <v>13</v>
      </c>
      <c r="D79" s="8" t="s">
        <v>21</v>
      </c>
      <c r="E79" s="8">
        <v>7999</v>
      </c>
      <c r="F79" s="8">
        <v>31</v>
      </c>
      <c r="G79" s="9">
        <f t="shared" si="1"/>
        <v>247969</v>
      </c>
    </row>
    <row r="80" spans="1:7" ht="16" x14ac:dyDescent="0.35">
      <c r="A80" s="4">
        <v>43915</v>
      </c>
      <c r="B80" s="5" t="s">
        <v>10</v>
      </c>
      <c r="C80" s="5" t="s">
        <v>17</v>
      </c>
      <c r="D80" s="5" t="s">
        <v>11</v>
      </c>
      <c r="E80" s="5">
        <v>45000</v>
      </c>
      <c r="F80" s="5">
        <v>34</v>
      </c>
      <c r="G80" s="6">
        <f t="shared" si="1"/>
        <v>1530000</v>
      </c>
    </row>
    <row r="81" spans="1:7" ht="16" x14ac:dyDescent="0.35">
      <c r="A81" s="4">
        <v>43916</v>
      </c>
      <c r="B81" s="8" t="s">
        <v>23</v>
      </c>
      <c r="C81" s="8" t="s">
        <v>22</v>
      </c>
      <c r="D81" s="8" t="s">
        <v>9</v>
      </c>
      <c r="E81" s="8">
        <v>990</v>
      </c>
      <c r="F81" s="8">
        <v>43</v>
      </c>
      <c r="G81" s="9">
        <f t="shared" si="1"/>
        <v>42570</v>
      </c>
    </row>
    <row r="82" spans="1:7" ht="16" x14ac:dyDescent="0.35">
      <c r="A82" s="4">
        <v>43917</v>
      </c>
      <c r="B82" s="5" t="s">
        <v>19</v>
      </c>
      <c r="C82" s="5" t="s">
        <v>20</v>
      </c>
      <c r="D82" s="5" t="s">
        <v>9</v>
      </c>
      <c r="E82" s="5">
        <v>11999</v>
      </c>
      <c r="F82" s="5">
        <v>37</v>
      </c>
      <c r="G82" s="6">
        <f t="shared" si="1"/>
        <v>443963</v>
      </c>
    </row>
    <row r="83" spans="1:7" ht="16" x14ac:dyDescent="0.35">
      <c r="A83" s="4">
        <v>43918</v>
      </c>
      <c r="B83" s="8" t="s">
        <v>19</v>
      </c>
      <c r="C83" s="8" t="s">
        <v>13</v>
      </c>
      <c r="D83" s="8" t="s">
        <v>9</v>
      </c>
      <c r="E83" s="8">
        <v>960</v>
      </c>
      <c r="F83" s="8">
        <v>7</v>
      </c>
      <c r="G83" s="9">
        <f t="shared" si="1"/>
        <v>6720</v>
      </c>
    </row>
    <row r="84" spans="1:7" ht="16" x14ac:dyDescent="0.35">
      <c r="A84" s="4">
        <v>43919</v>
      </c>
      <c r="B84" s="5" t="s">
        <v>10</v>
      </c>
      <c r="C84" s="5" t="s">
        <v>8</v>
      </c>
      <c r="D84" s="5" t="s">
        <v>14</v>
      </c>
      <c r="E84" s="5">
        <v>1450</v>
      </c>
      <c r="F84" s="5">
        <v>19</v>
      </c>
      <c r="G84" s="6">
        <f t="shared" si="1"/>
        <v>27550</v>
      </c>
    </row>
    <row r="85" spans="1:7" ht="16" x14ac:dyDescent="0.35">
      <c r="A85" s="4">
        <v>43920</v>
      </c>
      <c r="B85" s="8" t="s">
        <v>12</v>
      </c>
      <c r="C85" s="8" t="s">
        <v>16</v>
      </c>
      <c r="D85" s="8" t="s">
        <v>11</v>
      </c>
      <c r="E85" s="8">
        <v>45000</v>
      </c>
      <c r="F85" s="8">
        <v>47</v>
      </c>
      <c r="G85" s="9">
        <f t="shared" si="1"/>
        <v>2115000</v>
      </c>
    </row>
    <row r="86" spans="1:7" ht="16" x14ac:dyDescent="0.35">
      <c r="A86" s="4">
        <v>43921</v>
      </c>
      <c r="B86" s="5" t="s">
        <v>10</v>
      </c>
      <c r="C86" s="5" t="s">
        <v>22</v>
      </c>
      <c r="D86" s="5" t="s">
        <v>11</v>
      </c>
      <c r="E86" s="5">
        <v>1499</v>
      </c>
      <c r="F86" s="5">
        <v>37</v>
      </c>
      <c r="G86" s="6">
        <f t="shared" si="1"/>
        <v>55463</v>
      </c>
    </row>
    <row r="87" spans="1:7" ht="16" x14ac:dyDescent="0.35">
      <c r="A87" s="4">
        <v>43922</v>
      </c>
      <c r="B87" s="8" t="s">
        <v>19</v>
      </c>
      <c r="C87" s="8" t="s">
        <v>20</v>
      </c>
      <c r="D87" s="8" t="s">
        <v>14</v>
      </c>
      <c r="E87" s="8">
        <v>79999</v>
      </c>
      <c r="F87" s="8">
        <v>4</v>
      </c>
      <c r="G87" s="9">
        <f t="shared" si="1"/>
        <v>319996</v>
      </c>
    </row>
    <row r="88" spans="1:7" ht="16" x14ac:dyDescent="0.35">
      <c r="A88" s="4">
        <v>43923</v>
      </c>
      <c r="B88" s="5" t="s">
        <v>15</v>
      </c>
      <c r="C88" s="5" t="s">
        <v>16</v>
      </c>
      <c r="D88" s="5" t="s">
        <v>21</v>
      </c>
      <c r="E88" s="5">
        <v>999</v>
      </c>
      <c r="F88" s="5">
        <v>45</v>
      </c>
      <c r="G88" s="6">
        <f t="shared" si="1"/>
        <v>44955</v>
      </c>
    </row>
    <row r="89" spans="1:7" ht="16" x14ac:dyDescent="0.35">
      <c r="A89" s="4">
        <v>43924</v>
      </c>
      <c r="B89" s="8" t="s">
        <v>10</v>
      </c>
      <c r="C89" s="8" t="s">
        <v>20</v>
      </c>
      <c r="D89" s="8" t="s">
        <v>9</v>
      </c>
      <c r="E89" s="8">
        <v>52000</v>
      </c>
      <c r="F89" s="8">
        <v>15</v>
      </c>
      <c r="G89" s="9">
        <f t="shared" si="1"/>
        <v>780000</v>
      </c>
    </row>
    <row r="90" spans="1:7" ht="16" x14ac:dyDescent="0.35">
      <c r="A90" s="4">
        <v>43925</v>
      </c>
      <c r="B90" s="5" t="s">
        <v>12</v>
      </c>
      <c r="C90" s="5" t="s">
        <v>16</v>
      </c>
      <c r="D90" s="5" t="s">
        <v>18</v>
      </c>
      <c r="E90" s="5">
        <v>52000</v>
      </c>
      <c r="F90" s="5">
        <v>39</v>
      </c>
      <c r="G90" s="6">
        <f t="shared" si="1"/>
        <v>2028000</v>
      </c>
    </row>
    <row r="91" spans="1:7" ht="16" x14ac:dyDescent="0.35">
      <c r="A91" s="4">
        <v>43926</v>
      </c>
      <c r="B91" s="8" t="s">
        <v>19</v>
      </c>
      <c r="C91" s="8" t="s">
        <v>13</v>
      </c>
      <c r="D91" s="8" t="s">
        <v>14</v>
      </c>
      <c r="E91" s="8">
        <v>960</v>
      </c>
      <c r="F91" s="8">
        <v>33</v>
      </c>
      <c r="G91" s="9">
        <f t="shared" si="1"/>
        <v>31680</v>
      </c>
    </row>
    <row r="92" spans="1:7" ht="16" x14ac:dyDescent="0.35">
      <c r="A92" s="4">
        <v>43927</v>
      </c>
      <c r="B92" s="5" t="s">
        <v>19</v>
      </c>
      <c r="C92" s="5" t="s">
        <v>16</v>
      </c>
      <c r="D92" s="5" t="s">
        <v>18</v>
      </c>
      <c r="E92" s="5">
        <v>19500</v>
      </c>
      <c r="F92" s="5">
        <v>45</v>
      </c>
      <c r="G92" s="6">
        <f t="shared" si="1"/>
        <v>877500</v>
      </c>
    </row>
    <row r="93" spans="1:7" ht="16" x14ac:dyDescent="0.35">
      <c r="A93" s="4">
        <v>43928</v>
      </c>
      <c r="B93" s="8" t="s">
        <v>19</v>
      </c>
      <c r="C93" s="8" t="s">
        <v>20</v>
      </c>
      <c r="D93" s="8" t="s">
        <v>18</v>
      </c>
      <c r="E93" s="8">
        <v>2999</v>
      </c>
      <c r="F93" s="8">
        <v>33</v>
      </c>
      <c r="G93" s="9">
        <f t="shared" si="1"/>
        <v>98967</v>
      </c>
    </row>
    <row r="94" spans="1:7" ht="16" x14ac:dyDescent="0.35">
      <c r="A94" s="4">
        <v>43929</v>
      </c>
      <c r="B94" s="5" t="s">
        <v>10</v>
      </c>
      <c r="C94" s="5" t="s">
        <v>13</v>
      </c>
      <c r="D94" s="5" t="s">
        <v>21</v>
      </c>
      <c r="E94" s="5">
        <v>1250</v>
      </c>
      <c r="F94" s="5">
        <v>14</v>
      </c>
      <c r="G94" s="6">
        <f t="shared" si="1"/>
        <v>17500</v>
      </c>
    </row>
    <row r="95" spans="1:7" ht="16" x14ac:dyDescent="0.35">
      <c r="A95" s="4">
        <v>43930</v>
      </c>
      <c r="B95" s="8" t="s">
        <v>10</v>
      </c>
      <c r="C95" s="8" t="s">
        <v>17</v>
      </c>
      <c r="D95" s="8" t="s">
        <v>9</v>
      </c>
      <c r="E95" s="8">
        <v>120</v>
      </c>
      <c r="F95" s="8">
        <v>41</v>
      </c>
      <c r="G95" s="9">
        <f t="shared" si="1"/>
        <v>4920</v>
      </c>
    </row>
    <row r="96" spans="1:7" ht="16" x14ac:dyDescent="0.35">
      <c r="A96" s="4">
        <v>43931</v>
      </c>
      <c r="B96" s="5" t="s">
        <v>12</v>
      </c>
      <c r="C96" s="5" t="s">
        <v>8</v>
      </c>
      <c r="D96" s="5" t="s">
        <v>18</v>
      </c>
      <c r="E96" s="5">
        <v>1450</v>
      </c>
      <c r="F96" s="5">
        <v>22</v>
      </c>
      <c r="G96" s="6">
        <f t="shared" si="1"/>
        <v>31900</v>
      </c>
    </row>
    <row r="97" spans="1:7" ht="16" x14ac:dyDescent="0.35">
      <c r="A97" s="4">
        <v>43932</v>
      </c>
      <c r="B97" s="8" t="s">
        <v>19</v>
      </c>
      <c r="C97" s="8" t="s">
        <v>20</v>
      </c>
      <c r="D97" s="8" t="s">
        <v>9</v>
      </c>
      <c r="E97" s="8">
        <v>89999</v>
      </c>
      <c r="F97" s="8">
        <v>15</v>
      </c>
      <c r="G97" s="9">
        <f t="shared" si="1"/>
        <v>1349985</v>
      </c>
    </row>
    <row r="98" spans="1:7" ht="16" x14ac:dyDescent="0.35">
      <c r="A98" s="4">
        <v>43933</v>
      </c>
      <c r="B98" s="5" t="s">
        <v>23</v>
      </c>
      <c r="C98" s="5" t="s">
        <v>16</v>
      </c>
      <c r="D98" s="5" t="s">
        <v>14</v>
      </c>
      <c r="E98" s="5">
        <v>1999</v>
      </c>
      <c r="F98" s="5">
        <v>48</v>
      </c>
      <c r="G98" s="6">
        <f t="shared" si="1"/>
        <v>95952</v>
      </c>
    </row>
    <row r="99" spans="1:7" ht="16" x14ac:dyDescent="0.35">
      <c r="A99" s="4">
        <v>43934</v>
      </c>
      <c r="B99" s="8" t="s">
        <v>23</v>
      </c>
      <c r="C99" s="8" t="s">
        <v>22</v>
      </c>
      <c r="D99" s="8" t="s">
        <v>18</v>
      </c>
      <c r="E99" s="8">
        <v>2900</v>
      </c>
      <c r="F99" s="8">
        <v>49</v>
      </c>
      <c r="G99" s="9">
        <f t="shared" si="1"/>
        <v>142100</v>
      </c>
    </row>
    <row r="100" spans="1:7" ht="16" x14ac:dyDescent="0.35">
      <c r="A100" s="4">
        <v>43935</v>
      </c>
      <c r="B100" s="5" t="s">
        <v>19</v>
      </c>
      <c r="C100" s="5" t="s">
        <v>20</v>
      </c>
      <c r="D100" s="5" t="s">
        <v>21</v>
      </c>
      <c r="E100" s="5">
        <v>700</v>
      </c>
      <c r="F100" s="5">
        <v>50</v>
      </c>
      <c r="G100" s="6">
        <f t="shared" si="1"/>
        <v>35000</v>
      </c>
    </row>
    <row r="101" spans="1:7" ht="16" x14ac:dyDescent="0.35">
      <c r="A101" s="4">
        <v>43936</v>
      </c>
      <c r="B101" s="8" t="s">
        <v>15</v>
      </c>
      <c r="C101" s="8" t="s">
        <v>17</v>
      </c>
      <c r="D101" s="8" t="s">
        <v>18</v>
      </c>
      <c r="E101" s="8">
        <v>200</v>
      </c>
      <c r="F101" s="8">
        <v>41</v>
      </c>
      <c r="G101" s="9">
        <f t="shared" si="1"/>
        <v>8200</v>
      </c>
    </row>
    <row r="102" spans="1:7" ht="16" x14ac:dyDescent="0.35">
      <c r="A102" s="4">
        <v>43937</v>
      </c>
      <c r="B102" s="5" t="s">
        <v>12</v>
      </c>
      <c r="C102" s="5" t="s">
        <v>16</v>
      </c>
      <c r="D102" s="5" t="s">
        <v>11</v>
      </c>
      <c r="E102" s="5">
        <v>49000</v>
      </c>
      <c r="F102" s="5">
        <v>29</v>
      </c>
      <c r="G102" s="6">
        <f t="shared" si="1"/>
        <v>1421000</v>
      </c>
    </row>
    <row r="103" spans="1:7" ht="16" x14ac:dyDescent="0.35">
      <c r="A103" s="4">
        <v>43938</v>
      </c>
      <c r="B103" s="8" t="s">
        <v>7</v>
      </c>
      <c r="C103" s="8" t="s">
        <v>8</v>
      </c>
      <c r="D103" s="8" t="s">
        <v>21</v>
      </c>
      <c r="E103" s="8">
        <v>5599</v>
      </c>
      <c r="F103" s="8">
        <v>36</v>
      </c>
      <c r="G103" s="9">
        <f t="shared" si="1"/>
        <v>201564</v>
      </c>
    </row>
    <row r="104" spans="1:7" ht="16" x14ac:dyDescent="0.35">
      <c r="A104" s="4">
        <v>43939</v>
      </c>
      <c r="B104" s="5" t="s">
        <v>15</v>
      </c>
      <c r="C104" s="5" t="s">
        <v>17</v>
      </c>
      <c r="D104" s="5" t="s">
        <v>18</v>
      </c>
      <c r="E104" s="5">
        <v>13500</v>
      </c>
      <c r="F104" s="5">
        <v>39</v>
      </c>
      <c r="G104" s="6">
        <f t="shared" si="1"/>
        <v>526500</v>
      </c>
    </row>
    <row r="105" spans="1:7" ht="16" x14ac:dyDescent="0.35">
      <c r="A105" s="4">
        <v>43940</v>
      </c>
      <c r="B105" s="8" t="s">
        <v>12</v>
      </c>
      <c r="C105" s="8" t="s">
        <v>20</v>
      </c>
      <c r="D105" s="8" t="s">
        <v>18</v>
      </c>
      <c r="E105" s="8">
        <v>79999</v>
      </c>
      <c r="F105" s="8">
        <v>9</v>
      </c>
      <c r="G105" s="9">
        <f t="shared" si="1"/>
        <v>719991</v>
      </c>
    </row>
    <row r="106" spans="1:7" ht="16" x14ac:dyDescent="0.35">
      <c r="A106" s="4">
        <v>43941</v>
      </c>
      <c r="B106" s="5" t="s">
        <v>19</v>
      </c>
      <c r="C106" s="5" t="s">
        <v>16</v>
      </c>
      <c r="D106" s="5" t="s">
        <v>14</v>
      </c>
      <c r="E106" s="5">
        <v>75200</v>
      </c>
      <c r="F106" s="5">
        <v>38</v>
      </c>
      <c r="G106" s="6">
        <f t="shared" si="1"/>
        <v>2857600</v>
      </c>
    </row>
    <row r="107" spans="1:7" ht="16" x14ac:dyDescent="0.35">
      <c r="A107" s="4">
        <v>43942</v>
      </c>
      <c r="B107" s="8" t="s">
        <v>19</v>
      </c>
      <c r="C107" s="8" t="s">
        <v>13</v>
      </c>
      <c r="D107" s="8" t="s">
        <v>9</v>
      </c>
      <c r="E107" s="8">
        <v>550</v>
      </c>
      <c r="F107" s="8">
        <v>25</v>
      </c>
      <c r="G107" s="9">
        <f t="shared" si="1"/>
        <v>13750</v>
      </c>
    </row>
    <row r="108" spans="1:7" ht="16" x14ac:dyDescent="0.35">
      <c r="A108" s="4">
        <v>43943</v>
      </c>
      <c r="B108" s="5" t="s">
        <v>7</v>
      </c>
      <c r="C108" s="5" t="s">
        <v>8</v>
      </c>
      <c r="D108" s="5" t="s">
        <v>9</v>
      </c>
      <c r="E108" s="5">
        <v>499</v>
      </c>
      <c r="F108" s="5">
        <v>50</v>
      </c>
      <c r="G108" s="6">
        <f t="shared" si="1"/>
        <v>24950</v>
      </c>
    </row>
    <row r="109" spans="1:7" ht="16" x14ac:dyDescent="0.35">
      <c r="A109" s="4">
        <v>43944</v>
      </c>
      <c r="B109" s="8" t="s">
        <v>7</v>
      </c>
      <c r="C109" s="8" t="s">
        <v>8</v>
      </c>
      <c r="D109" s="8" t="s">
        <v>11</v>
      </c>
      <c r="E109" s="8">
        <v>5599</v>
      </c>
      <c r="F109" s="8">
        <v>33</v>
      </c>
      <c r="G109" s="9">
        <f t="shared" si="1"/>
        <v>184767</v>
      </c>
    </row>
    <row r="110" spans="1:7" ht="16" x14ac:dyDescent="0.35">
      <c r="A110" s="4">
        <v>43945</v>
      </c>
      <c r="B110" s="5" t="s">
        <v>12</v>
      </c>
      <c r="C110" s="5" t="s">
        <v>13</v>
      </c>
      <c r="D110" s="5" t="s">
        <v>14</v>
      </c>
      <c r="E110" s="5">
        <v>1450</v>
      </c>
      <c r="F110" s="5">
        <v>44</v>
      </c>
      <c r="G110" s="6">
        <f t="shared" si="1"/>
        <v>63800</v>
      </c>
    </row>
    <row r="111" spans="1:7" ht="16" x14ac:dyDescent="0.35">
      <c r="A111" s="4">
        <v>43946</v>
      </c>
      <c r="B111" s="8" t="s">
        <v>15</v>
      </c>
      <c r="C111" s="8" t="s">
        <v>17</v>
      </c>
      <c r="D111" s="8" t="s">
        <v>9</v>
      </c>
      <c r="E111" s="8">
        <v>999</v>
      </c>
      <c r="F111" s="8">
        <v>31</v>
      </c>
      <c r="G111" s="9">
        <f t="shared" si="1"/>
        <v>30969</v>
      </c>
    </row>
    <row r="112" spans="1:7" ht="16" x14ac:dyDescent="0.35">
      <c r="A112" s="4">
        <v>43947</v>
      </c>
      <c r="B112" s="5" t="s">
        <v>15</v>
      </c>
      <c r="C112" s="5" t="s">
        <v>17</v>
      </c>
      <c r="D112" s="5" t="s">
        <v>18</v>
      </c>
      <c r="E112" s="5">
        <v>100</v>
      </c>
      <c r="F112" s="5">
        <v>11</v>
      </c>
      <c r="G112" s="6">
        <f t="shared" si="1"/>
        <v>1100</v>
      </c>
    </row>
    <row r="113" spans="1:7" ht="16" x14ac:dyDescent="0.35">
      <c r="A113" s="4">
        <v>43948</v>
      </c>
      <c r="B113" s="8" t="s">
        <v>12</v>
      </c>
      <c r="C113" s="8" t="s">
        <v>8</v>
      </c>
      <c r="D113" s="8" t="s">
        <v>18</v>
      </c>
      <c r="E113" s="8">
        <v>2550</v>
      </c>
      <c r="F113" s="8">
        <v>48</v>
      </c>
      <c r="G113" s="9">
        <f t="shared" si="1"/>
        <v>122400</v>
      </c>
    </row>
    <row r="114" spans="1:7" ht="16" x14ac:dyDescent="0.35">
      <c r="A114" s="4">
        <v>43949</v>
      </c>
      <c r="B114" s="5" t="s">
        <v>19</v>
      </c>
      <c r="C114" s="5" t="s">
        <v>20</v>
      </c>
      <c r="D114" s="5" t="s">
        <v>18</v>
      </c>
      <c r="E114" s="5">
        <v>33000</v>
      </c>
      <c r="F114" s="5">
        <v>26</v>
      </c>
      <c r="G114" s="6">
        <f t="shared" si="1"/>
        <v>858000</v>
      </c>
    </row>
    <row r="115" spans="1:7" ht="16" x14ac:dyDescent="0.35">
      <c r="A115" s="4">
        <v>43950</v>
      </c>
      <c r="B115" s="8" t="s">
        <v>10</v>
      </c>
      <c r="C115" s="8" t="s">
        <v>8</v>
      </c>
      <c r="D115" s="8" t="s">
        <v>14</v>
      </c>
      <c r="E115" s="8">
        <v>800</v>
      </c>
      <c r="F115" s="8">
        <v>39</v>
      </c>
      <c r="G115" s="9">
        <f t="shared" si="1"/>
        <v>31200</v>
      </c>
    </row>
    <row r="116" spans="1:7" ht="16" x14ac:dyDescent="0.35">
      <c r="A116" s="4">
        <v>43951</v>
      </c>
      <c r="B116" s="5" t="s">
        <v>23</v>
      </c>
      <c r="C116" s="5" t="s">
        <v>22</v>
      </c>
      <c r="D116" s="5" t="s">
        <v>14</v>
      </c>
      <c r="E116" s="5">
        <v>990</v>
      </c>
      <c r="F116" s="5">
        <v>9</v>
      </c>
      <c r="G116" s="6">
        <f t="shared" si="1"/>
        <v>8910</v>
      </c>
    </row>
    <row r="117" spans="1:7" ht="16" x14ac:dyDescent="0.35">
      <c r="A117" s="4">
        <v>43952</v>
      </c>
      <c r="B117" s="8" t="s">
        <v>7</v>
      </c>
      <c r="C117" s="8" t="s">
        <v>8</v>
      </c>
      <c r="D117" s="8" t="s">
        <v>9</v>
      </c>
      <c r="E117" s="8">
        <v>5599</v>
      </c>
      <c r="F117" s="8">
        <v>41</v>
      </c>
      <c r="G117" s="9">
        <f t="shared" si="1"/>
        <v>229559</v>
      </c>
    </row>
    <row r="118" spans="1:7" ht="16" x14ac:dyDescent="0.35">
      <c r="A118" s="4">
        <v>43953</v>
      </c>
      <c r="B118" s="5" t="s">
        <v>19</v>
      </c>
      <c r="C118" s="5" t="s">
        <v>20</v>
      </c>
      <c r="D118" s="5" t="s">
        <v>9</v>
      </c>
      <c r="E118" s="5">
        <v>499</v>
      </c>
      <c r="F118" s="5">
        <v>39</v>
      </c>
      <c r="G118" s="6">
        <f t="shared" si="1"/>
        <v>19461</v>
      </c>
    </row>
    <row r="119" spans="1:7" ht="16" x14ac:dyDescent="0.35">
      <c r="A119" s="4">
        <v>43954</v>
      </c>
      <c r="B119" s="8" t="s">
        <v>23</v>
      </c>
      <c r="C119" s="8" t="s">
        <v>22</v>
      </c>
      <c r="D119" s="8" t="s">
        <v>9</v>
      </c>
      <c r="E119" s="8">
        <v>1999</v>
      </c>
      <c r="F119" s="8">
        <v>4</v>
      </c>
      <c r="G119" s="9">
        <f t="shared" si="1"/>
        <v>7996</v>
      </c>
    </row>
    <row r="120" spans="1:7" ht="16" x14ac:dyDescent="0.35">
      <c r="A120" s="4">
        <v>43955</v>
      </c>
      <c r="B120" s="5" t="s">
        <v>12</v>
      </c>
      <c r="C120" s="5" t="s">
        <v>17</v>
      </c>
      <c r="D120" s="5" t="s">
        <v>9</v>
      </c>
      <c r="E120" s="5">
        <v>200</v>
      </c>
      <c r="F120" s="5">
        <v>8</v>
      </c>
      <c r="G120" s="6">
        <f t="shared" si="1"/>
        <v>1600</v>
      </c>
    </row>
    <row r="121" spans="1:7" ht="16" x14ac:dyDescent="0.35">
      <c r="A121" s="4">
        <v>43956</v>
      </c>
      <c r="B121" s="8" t="s">
        <v>23</v>
      </c>
      <c r="C121" s="8" t="s">
        <v>22</v>
      </c>
      <c r="D121" s="8" t="s">
        <v>14</v>
      </c>
      <c r="E121" s="8">
        <v>1499</v>
      </c>
      <c r="F121" s="8">
        <v>27</v>
      </c>
      <c r="G121" s="9">
        <f t="shared" si="1"/>
        <v>40473</v>
      </c>
    </row>
    <row r="122" spans="1:7" ht="16" x14ac:dyDescent="0.35">
      <c r="A122" s="4">
        <v>43957</v>
      </c>
      <c r="B122" s="5" t="s">
        <v>15</v>
      </c>
      <c r="C122" s="5" t="s">
        <v>17</v>
      </c>
      <c r="D122" s="5" t="s">
        <v>21</v>
      </c>
      <c r="E122" s="5">
        <v>120</v>
      </c>
      <c r="F122" s="5">
        <v>10</v>
      </c>
      <c r="G122" s="6">
        <f t="shared" si="1"/>
        <v>1200</v>
      </c>
    </row>
    <row r="123" spans="1:7" ht="16" x14ac:dyDescent="0.35">
      <c r="A123" s="4">
        <v>43958</v>
      </c>
      <c r="B123" s="8" t="s">
        <v>10</v>
      </c>
      <c r="C123" s="8" t="s">
        <v>20</v>
      </c>
      <c r="D123" s="8" t="s">
        <v>21</v>
      </c>
      <c r="E123" s="8">
        <v>11999</v>
      </c>
      <c r="F123" s="8">
        <v>17</v>
      </c>
      <c r="G123" s="9">
        <f t="shared" si="1"/>
        <v>203983</v>
      </c>
    </row>
    <row r="124" spans="1:7" ht="16" x14ac:dyDescent="0.35">
      <c r="A124" s="4">
        <v>43959</v>
      </c>
      <c r="B124" s="5" t="s">
        <v>10</v>
      </c>
      <c r="C124" s="5" t="s">
        <v>20</v>
      </c>
      <c r="D124" s="5" t="s">
        <v>11</v>
      </c>
      <c r="E124" s="5">
        <v>999</v>
      </c>
      <c r="F124" s="5">
        <v>27</v>
      </c>
      <c r="G124" s="6">
        <f t="shared" si="1"/>
        <v>26973</v>
      </c>
    </row>
    <row r="125" spans="1:7" ht="16" x14ac:dyDescent="0.35">
      <c r="A125" s="4">
        <v>43960</v>
      </c>
      <c r="B125" s="8" t="s">
        <v>12</v>
      </c>
      <c r="C125" s="8" t="s">
        <v>20</v>
      </c>
      <c r="D125" s="8" t="s">
        <v>14</v>
      </c>
      <c r="E125" s="8">
        <v>2999</v>
      </c>
      <c r="F125" s="8">
        <v>43</v>
      </c>
      <c r="G125" s="9">
        <f t="shared" si="1"/>
        <v>128957</v>
      </c>
    </row>
    <row r="126" spans="1:7" ht="16" x14ac:dyDescent="0.35">
      <c r="A126" s="4">
        <v>43961</v>
      </c>
      <c r="B126" s="5" t="s">
        <v>15</v>
      </c>
      <c r="C126" s="5" t="s">
        <v>16</v>
      </c>
      <c r="D126" s="5" t="s">
        <v>11</v>
      </c>
      <c r="E126" s="5">
        <v>47800</v>
      </c>
      <c r="F126" s="5">
        <v>9</v>
      </c>
      <c r="G126" s="6">
        <f t="shared" si="1"/>
        <v>430200</v>
      </c>
    </row>
    <row r="127" spans="1:7" ht="16" x14ac:dyDescent="0.35">
      <c r="A127" s="4">
        <v>43962</v>
      </c>
      <c r="B127" s="8" t="s">
        <v>19</v>
      </c>
      <c r="C127" s="8" t="s">
        <v>16</v>
      </c>
      <c r="D127" s="8" t="s">
        <v>9</v>
      </c>
      <c r="E127" s="8">
        <v>22000</v>
      </c>
      <c r="F127" s="8">
        <v>42</v>
      </c>
      <c r="G127" s="9">
        <f t="shared" si="1"/>
        <v>924000</v>
      </c>
    </row>
    <row r="128" spans="1:7" ht="16" x14ac:dyDescent="0.35">
      <c r="A128" s="4">
        <v>43963</v>
      </c>
      <c r="B128" s="5" t="s">
        <v>19</v>
      </c>
      <c r="C128" s="5" t="s">
        <v>13</v>
      </c>
      <c r="D128" s="5" t="s">
        <v>11</v>
      </c>
      <c r="E128" s="5">
        <v>1250</v>
      </c>
      <c r="F128" s="5">
        <v>6</v>
      </c>
      <c r="G128" s="6">
        <f t="shared" si="1"/>
        <v>7500</v>
      </c>
    </row>
    <row r="129" spans="1:7" ht="16" x14ac:dyDescent="0.35">
      <c r="A129" s="4">
        <v>43964</v>
      </c>
      <c r="B129" s="8" t="s">
        <v>15</v>
      </c>
      <c r="C129" s="8" t="s">
        <v>17</v>
      </c>
      <c r="D129" s="8" t="s">
        <v>14</v>
      </c>
      <c r="E129" s="8">
        <v>999</v>
      </c>
      <c r="F129" s="8">
        <v>28</v>
      </c>
      <c r="G129" s="9">
        <f t="shared" si="1"/>
        <v>27972</v>
      </c>
    </row>
    <row r="130" spans="1:7" ht="16" x14ac:dyDescent="0.35">
      <c r="A130" s="4">
        <v>43965</v>
      </c>
      <c r="B130" s="5" t="s">
        <v>19</v>
      </c>
      <c r="C130" s="5" t="s">
        <v>13</v>
      </c>
      <c r="D130" s="5" t="s">
        <v>21</v>
      </c>
      <c r="E130" s="5">
        <v>1450</v>
      </c>
      <c r="F130" s="5">
        <v>13</v>
      </c>
      <c r="G130" s="6">
        <f t="shared" ref="G130:G193" si="2">E130*F130</f>
        <v>18850</v>
      </c>
    </row>
    <row r="131" spans="1:7" ht="16" x14ac:dyDescent="0.35">
      <c r="A131" s="4">
        <v>43966</v>
      </c>
      <c r="B131" s="8" t="s">
        <v>19</v>
      </c>
      <c r="C131" s="8" t="s">
        <v>13</v>
      </c>
      <c r="D131" s="8" t="s">
        <v>21</v>
      </c>
      <c r="E131" s="8">
        <v>23999</v>
      </c>
      <c r="F131" s="8">
        <v>8</v>
      </c>
      <c r="G131" s="9">
        <f t="shared" si="2"/>
        <v>191992</v>
      </c>
    </row>
    <row r="132" spans="1:7" ht="16" x14ac:dyDescent="0.35">
      <c r="A132" s="4">
        <v>43967</v>
      </c>
      <c r="B132" s="5" t="s">
        <v>10</v>
      </c>
      <c r="C132" s="5" t="s">
        <v>16</v>
      </c>
      <c r="D132" s="5" t="s">
        <v>21</v>
      </c>
      <c r="E132" s="5">
        <v>92000</v>
      </c>
      <c r="F132" s="5">
        <v>7</v>
      </c>
      <c r="G132" s="6">
        <f t="shared" si="2"/>
        <v>644000</v>
      </c>
    </row>
    <row r="133" spans="1:7" ht="16" x14ac:dyDescent="0.35">
      <c r="A133" s="4">
        <v>43968</v>
      </c>
      <c r="B133" s="8" t="s">
        <v>23</v>
      </c>
      <c r="C133" s="8" t="s">
        <v>22</v>
      </c>
      <c r="D133" s="8" t="s">
        <v>14</v>
      </c>
      <c r="E133" s="8">
        <v>699</v>
      </c>
      <c r="F133" s="8">
        <v>45</v>
      </c>
      <c r="G133" s="9">
        <f t="shared" si="2"/>
        <v>31455</v>
      </c>
    </row>
    <row r="134" spans="1:7" ht="16" x14ac:dyDescent="0.35">
      <c r="A134" s="4">
        <v>43969</v>
      </c>
      <c r="B134" s="5" t="s">
        <v>7</v>
      </c>
      <c r="C134" s="5" t="s">
        <v>8</v>
      </c>
      <c r="D134" s="5" t="s">
        <v>9</v>
      </c>
      <c r="E134" s="5">
        <v>2550</v>
      </c>
      <c r="F134" s="5">
        <v>22</v>
      </c>
      <c r="G134" s="6">
        <f t="shared" si="2"/>
        <v>56100</v>
      </c>
    </row>
    <row r="135" spans="1:7" ht="16" x14ac:dyDescent="0.35">
      <c r="A135" s="4">
        <v>43970</v>
      </c>
      <c r="B135" s="8" t="s">
        <v>12</v>
      </c>
      <c r="C135" s="8" t="s">
        <v>20</v>
      </c>
      <c r="D135" s="8" t="s">
        <v>21</v>
      </c>
      <c r="E135" s="8">
        <v>22000</v>
      </c>
      <c r="F135" s="8">
        <v>4</v>
      </c>
      <c r="G135" s="9">
        <f t="shared" si="2"/>
        <v>88000</v>
      </c>
    </row>
    <row r="136" spans="1:7" ht="16" x14ac:dyDescent="0.35">
      <c r="A136" s="4">
        <v>43971</v>
      </c>
      <c r="B136" s="5" t="s">
        <v>19</v>
      </c>
      <c r="C136" s="5" t="s">
        <v>20</v>
      </c>
      <c r="D136" s="5" t="s">
        <v>9</v>
      </c>
      <c r="E136" s="5">
        <v>22000</v>
      </c>
      <c r="F136" s="5">
        <v>10</v>
      </c>
      <c r="G136" s="6">
        <f t="shared" si="2"/>
        <v>220000</v>
      </c>
    </row>
    <row r="137" spans="1:7" ht="16" x14ac:dyDescent="0.35">
      <c r="A137" s="4">
        <v>43972</v>
      </c>
      <c r="B137" s="8" t="s">
        <v>10</v>
      </c>
      <c r="C137" s="8" t="s">
        <v>22</v>
      </c>
      <c r="D137" s="8" t="s">
        <v>14</v>
      </c>
      <c r="E137" s="8">
        <v>1499</v>
      </c>
      <c r="F137" s="8">
        <v>16</v>
      </c>
      <c r="G137" s="9">
        <f t="shared" si="2"/>
        <v>23984</v>
      </c>
    </row>
    <row r="138" spans="1:7" ht="16" x14ac:dyDescent="0.35">
      <c r="A138" s="4">
        <v>43973</v>
      </c>
      <c r="B138" s="5" t="s">
        <v>15</v>
      </c>
      <c r="C138" s="5" t="s">
        <v>17</v>
      </c>
      <c r="D138" s="5" t="s">
        <v>21</v>
      </c>
      <c r="E138" s="5">
        <v>120</v>
      </c>
      <c r="F138" s="5">
        <v>22</v>
      </c>
      <c r="G138" s="6">
        <f t="shared" si="2"/>
        <v>2640</v>
      </c>
    </row>
    <row r="139" spans="1:7" ht="16" x14ac:dyDescent="0.35">
      <c r="A139" s="4">
        <v>43974</v>
      </c>
      <c r="B139" s="8" t="s">
        <v>7</v>
      </c>
      <c r="C139" s="8" t="s">
        <v>8</v>
      </c>
      <c r="D139" s="8" t="s">
        <v>11</v>
      </c>
      <c r="E139" s="8">
        <v>1450</v>
      </c>
      <c r="F139" s="8">
        <v>20</v>
      </c>
      <c r="G139" s="9">
        <f t="shared" si="2"/>
        <v>29000</v>
      </c>
    </row>
    <row r="140" spans="1:7" ht="16" x14ac:dyDescent="0.35">
      <c r="A140" s="4">
        <v>43975</v>
      </c>
      <c r="B140" s="5" t="s">
        <v>23</v>
      </c>
      <c r="C140" s="5" t="s">
        <v>22</v>
      </c>
      <c r="D140" s="5" t="s">
        <v>14</v>
      </c>
      <c r="E140" s="5">
        <v>1999</v>
      </c>
      <c r="F140" s="5">
        <v>23</v>
      </c>
      <c r="G140" s="6">
        <f t="shared" si="2"/>
        <v>45977</v>
      </c>
    </row>
    <row r="141" spans="1:7" ht="16" x14ac:dyDescent="0.35">
      <c r="A141" s="4">
        <v>43976</v>
      </c>
      <c r="B141" s="8" t="s">
        <v>10</v>
      </c>
      <c r="C141" s="8" t="s">
        <v>8</v>
      </c>
      <c r="D141" s="8" t="s">
        <v>24</v>
      </c>
      <c r="E141" s="8">
        <v>800</v>
      </c>
      <c r="F141" s="8">
        <v>43</v>
      </c>
      <c r="G141" s="9">
        <f t="shared" si="2"/>
        <v>34400</v>
      </c>
    </row>
    <row r="142" spans="1:7" ht="16" x14ac:dyDescent="0.35">
      <c r="A142" s="4">
        <v>43977</v>
      </c>
      <c r="B142" s="5" t="s">
        <v>15</v>
      </c>
      <c r="C142" s="5" t="s">
        <v>17</v>
      </c>
      <c r="D142" s="5" t="s">
        <v>21</v>
      </c>
      <c r="E142" s="5">
        <v>100</v>
      </c>
      <c r="F142" s="5">
        <v>41</v>
      </c>
      <c r="G142" s="6">
        <f t="shared" si="2"/>
        <v>4100</v>
      </c>
    </row>
    <row r="143" spans="1:7" ht="16" x14ac:dyDescent="0.35">
      <c r="A143" s="4">
        <v>43978</v>
      </c>
      <c r="B143" s="8" t="s">
        <v>7</v>
      </c>
      <c r="C143" s="8" t="s">
        <v>16</v>
      </c>
      <c r="D143" s="8" t="s">
        <v>21</v>
      </c>
      <c r="E143" s="8">
        <v>13999</v>
      </c>
      <c r="F143" s="8">
        <v>37</v>
      </c>
      <c r="G143" s="9">
        <f t="shared" si="2"/>
        <v>517963</v>
      </c>
    </row>
    <row r="144" spans="1:7" ht="16" x14ac:dyDescent="0.35">
      <c r="A144" s="4">
        <v>43979</v>
      </c>
      <c r="B144" s="5" t="s">
        <v>12</v>
      </c>
      <c r="C144" s="5" t="s">
        <v>20</v>
      </c>
      <c r="D144" s="5" t="s">
        <v>18</v>
      </c>
      <c r="E144" s="5">
        <v>22000</v>
      </c>
      <c r="F144" s="5">
        <v>45</v>
      </c>
      <c r="G144" s="6">
        <f t="shared" si="2"/>
        <v>990000</v>
      </c>
    </row>
    <row r="145" spans="1:7" ht="16" x14ac:dyDescent="0.35">
      <c r="A145" s="4">
        <v>43980</v>
      </c>
      <c r="B145" s="8" t="s">
        <v>19</v>
      </c>
      <c r="C145" s="8" t="s">
        <v>20</v>
      </c>
      <c r="D145" s="8" t="s">
        <v>24</v>
      </c>
      <c r="E145" s="8">
        <v>89999</v>
      </c>
      <c r="F145" s="8">
        <v>15</v>
      </c>
      <c r="G145" s="9">
        <f t="shared" si="2"/>
        <v>1349985</v>
      </c>
    </row>
    <row r="146" spans="1:7" ht="16" x14ac:dyDescent="0.35">
      <c r="A146" s="4">
        <v>43981</v>
      </c>
      <c r="B146" s="5" t="s">
        <v>7</v>
      </c>
      <c r="C146" s="5" t="s">
        <v>8</v>
      </c>
      <c r="D146" s="5" t="s">
        <v>18</v>
      </c>
      <c r="E146" s="5">
        <v>13999</v>
      </c>
      <c r="F146" s="5">
        <v>22</v>
      </c>
      <c r="G146" s="6">
        <f t="shared" si="2"/>
        <v>307978</v>
      </c>
    </row>
    <row r="147" spans="1:7" ht="16" x14ac:dyDescent="0.35">
      <c r="A147" s="4">
        <v>43982</v>
      </c>
      <c r="B147" s="8" t="s">
        <v>10</v>
      </c>
      <c r="C147" s="8" t="s">
        <v>22</v>
      </c>
      <c r="D147" s="8" t="s">
        <v>14</v>
      </c>
      <c r="E147" s="8">
        <v>2900</v>
      </c>
      <c r="F147" s="8">
        <v>20</v>
      </c>
      <c r="G147" s="9">
        <f t="shared" si="2"/>
        <v>58000</v>
      </c>
    </row>
    <row r="148" spans="1:7" ht="16" x14ac:dyDescent="0.35">
      <c r="A148" s="4">
        <v>43983</v>
      </c>
      <c r="B148" s="5" t="s">
        <v>19</v>
      </c>
      <c r="C148" s="5" t="s">
        <v>20</v>
      </c>
      <c r="D148" s="5" t="s">
        <v>18</v>
      </c>
      <c r="E148" s="5">
        <v>33000</v>
      </c>
      <c r="F148" s="5">
        <v>16</v>
      </c>
      <c r="G148" s="6">
        <f t="shared" si="2"/>
        <v>528000</v>
      </c>
    </row>
    <row r="149" spans="1:7" ht="16" x14ac:dyDescent="0.35">
      <c r="A149" s="4">
        <v>43984</v>
      </c>
      <c r="B149" s="8" t="s">
        <v>10</v>
      </c>
      <c r="C149" s="8" t="s">
        <v>20</v>
      </c>
      <c r="D149" s="8" t="s">
        <v>11</v>
      </c>
      <c r="E149" s="8">
        <v>22000</v>
      </c>
      <c r="F149" s="8">
        <v>17</v>
      </c>
      <c r="G149" s="9">
        <f t="shared" si="2"/>
        <v>374000</v>
      </c>
    </row>
    <row r="150" spans="1:7" ht="16" x14ac:dyDescent="0.35">
      <c r="A150" s="4">
        <v>43985</v>
      </c>
      <c r="B150" s="5" t="s">
        <v>10</v>
      </c>
      <c r="C150" s="5" t="s">
        <v>22</v>
      </c>
      <c r="D150" s="5" t="s">
        <v>11</v>
      </c>
      <c r="E150" s="5">
        <v>45000</v>
      </c>
      <c r="F150" s="5">
        <v>50</v>
      </c>
      <c r="G150" s="6">
        <f t="shared" si="2"/>
        <v>2250000</v>
      </c>
    </row>
    <row r="151" spans="1:7" ht="16" x14ac:dyDescent="0.35">
      <c r="A151" s="4">
        <v>43986</v>
      </c>
      <c r="B151" s="8" t="s">
        <v>19</v>
      </c>
      <c r="C151" s="8" t="s">
        <v>16</v>
      </c>
      <c r="D151" s="8" t="s">
        <v>14</v>
      </c>
      <c r="E151" s="8">
        <v>499</v>
      </c>
      <c r="F151" s="8">
        <v>4</v>
      </c>
      <c r="G151" s="9">
        <f t="shared" si="2"/>
        <v>1996</v>
      </c>
    </row>
    <row r="152" spans="1:7" ht="16" x14ac:dyDescent="0.35">
      <c r="A152" s="4">
        <v>43987</v>
      </c>
      <c r="B152" s="5" t="s">
        <v>23</v>
      </c>
      <c r="C152" s="5" t="s">
        <v>22</v>
      </c>
      <c r="D152" s="5" t="s">
        <v>18</v>
      </c>
      <c r="E152" s="5">
        <v>590</v>
      </c>
      <c r="F152" s="5">
        <v>43</v>
      </c>
      <c r="G152" s="6">
        <f t="shared" si="2"/>
        <v>25370</v>
      </c>
    </row>
    <row r="153" spans="1:7" ht="16" x14ac:dyDescent="0.35">
      <c r="A153" s="4">
        <v>43988</v>
      </c>
      <c r="B153" s="8" t="s">
        <v>12</v>
      </c>
      <c r="C153" s="8" t="s">
        <v>22</v>
      </c>
      <c r="D153" s="8" t="s">
        <v>11</v>
      </c>
      <c r="E153" s="8">
        <v>590</v>
      </c>
      <c r="F153" s="8">
        <v>42</v>
      </c>
      <c r="G153" s="9">
        <f t="shared" si="2"/>
        <v>24780</v>
      </c>
    </row>
    <row r="154" spans="1:7" ht="16" x14ac:dyDescent="0.35">
      <c r="A154" s="4">
        <v>43989</v>
      </c>
      <c r="B154" s="5" t="s">
        <v>15</v>
      </c>
      <c r="C154" s="5" t="s">
        <v>17</v>
      </c>
      <c r="D154" s="5" t="s">
        <v>9</v>
      </c>
      <c r="E154" s="5">
        <v>12000</v>
      </c>
      <c r="F154" s="5">
        <v>9</v>
      </c>
      <c r="G154" s="6">
        <f t="shared" si="2"/>
        <v>108000</v>
      </c>
    </row>
    <row r="155" spans="1:7" ht="16" x14ac:dyDescent="0.35">
      <c r="A155" s="4">
        <v>43990</v>
      </c>
      <c r="B155" s="8" t="s">
        <v>19</v>
      </c>
      <c r="C155" s="8" t="s">
        <v>20</v>
      </c>
      <c r="D155" s="8" t="s">
        <v>24</v>
      </c>
      <c r="E155" s="8">
        <v>52000</v>
      </c>
      <c r="F155" s="8">
        <v>40</v>
      </c>
      <c r="G155" s="9">
        <f t="shared" si="2"/>
        <v>2080000</v>
      </c>
    </row>
    <row r="156" spans="1:7" ht="16" x14ac:dyDescent="0.35">
      <c r="A156" s="4">
        <v>43991</v>
      </c>
      <c r="B156" s="5" t="s">
        <v>19</v>
      </c>
      <c r="C156" s="5" t="s">
        <v>13</v>
      </c>
      <c r="D156" s="5" t="s">
        <v>18</v>
      </c>
      <c r="E156" s="5">
        <v>7999</v>
      </c>
      <c r="F156" s="5">
        <v>14</v>
      </c>
      <c r="G156" s="6">
        <f t="shared" si="2"/>
        <v>111986</v>
      </c>
    </row>
    <row r="157" spans="1:7" ht="16" x14ac:dyDescent="0.35">
      <c r="A157" s="4">
        <v>43992</v>
      </c>
      <c r="B157" s="8" t="s">
        <v>10</v>
      </c>
      <c r="C157" s="8" t="s">
        <v>13</v>
      </c>
      <c r="D157" s="8" t="s">
        <v>21</v>
      </c>
      <c r="E157" s="8">
        <v>5000</v>
      </c>
      <c r="F157" s="8">
        <v>9</v>
      </c>
      <c r="G157" s="9">
        <f t="shared" si="2"/>
        <v>45000</v>
      </c>
    </row>
    <row r="158" spans="1:7" ht="16" x14ac:dyDescent="0.35">
      <c r="A158" s="4">
        <v>43993</v>
      </c>
      <c r="B158" s="5" t="s">
        <v>19</v>
      </c>
      <c r="C158" s="5" t="s">
        <v>20</v>
      </c>
      <c r="D158" s="5" t="s">
        <v>18</v>
      </c>
      <c r="E158" s="5">
        <v>79999</v>
      </c>
      <c r="F158" s="5">
        <v>10</v>
      </c>
      <c r="G158" s="6">
        <f t="shared" si="2"/>
        <v>799990</v>
      </c>
    </row>
    <row r="159" spans="1:7" ht="16" x14ac:dyDescent="0.35">
      <c r="A159" s="4">
        <v>43994</v>
      </c>
      <c r="B159" s="8" t="s">
        <v>23</v>
      </c>
      <c r="C159" s="8" t="s">
        <v>16</v>
      </c>
      <c r="D159" s="8" t="s">
        <v>14</v>
      </c>
      <c r="E159" s="8">
        <v>1999</v>
      </c>
      <c r="F159" s="8">
        <v>37</v>
      </c>
      <c r="G159" s="9">
        <f t="shared" si="2"/>
        <v>73963</v>
      </c>
    </row>
    <row r="160" spans="1:7" ht="16" x14ac:dyDescent="0.35">
      <c r="A160" s="4">
        <v>43995</v>
      </c>
      <c r="B160" s="5" t="s">
        <v>19</v>
      </c>
      <c r="C160" s="5" t="s">
        <v>20</v>
      </c>
      <c r="D160" s="5" t="s">
        <v>18</v>
      </c>
      <c r="E160" s="5">
        <v>89999</v>
      </c>
      <c r="F160" s="5">
        <v>29</v>
      </c>
      <c r="G160" s="6">
        <f t="shared" si="2"/>
        <v>2609971</v>
      </c>
    </row>
    <row r="161" spans="1:7" ht="16" x14ac:dyDescent="0.35">
      <c r="A161" s="4">
        <v>43996</v>
      </c>
      <c r="B161" s="8" t="s">
        <v>12</v>
      </c>
      <c r="C161" s="8" t="s">
        <v>20</v>
      </c>
      <c r="D161" s="8" t="s">
        <v>9</v>
      </c>
      <c r="E161" s="8">
        <v>799</v>
      </c>
      <c r="F161" s="8">
        <v>44</v>
      </c>
      <c r="G161" s="9">
        <f t="shared" si="2"/>
        <v>35156</v>
      </c>
    </row>
    <row r="162" spans="1:7" ht="16" x14ac:dyDescent="0.35">
      <c r="A162" s="4">
        <v>43997</v>
      </c>
      <c r="B162" s="5" t="s">
        <v>19</v>
      </c>
      <c r="C162" s="5" t="s">
        <v>20</v>
      </c>
      <c r="D162" s="5" t="s">
        <v>11</v>
      </c>
      <c r="E162" s="5">
        <v>3990</v>
      </c>
      <c r="F162" s="5">
        <v>31</v>
      </c>
      <c r="G162" s="6">
        <f t="shared" si="2"/>
        <v>123690</v>
      </c>
    </row>
    <row r="163" spans="1:7" ht="16" x14ac:dyDescent="0.35">
      <c r="A163" s="4">
        <v>43998</v>
      </c>
      <c r="B163" s="8" t="s">
        <v>10</v>
      </c>
      <c r="C163" s="8" t="s">
        <v>20</v>
      </c>
      <c r="D163" s="8" t="s">
        <v>14</v>
      </c>
      <c r="E163" s="8">
        <v>52000</v>
      </c>
      <c r="F163" s="8">
        <v>29</v>
      </c>
      <c r="G163" s="9">
        <f t="shared" si="2"/>
        <v>1508000</v>
      </c>
    </row>
    <row r="164" spans="1:7" ht="16" x14ac:dyDescent="0.35">
      <c r="A164" s="4">
        <v>43999</v>
      </c>
      <c r="B164" s="5" t="s">
        <v>10</v>
      </c>
      <c r="C164" s="5" t="s">
        <v>8</v>
      </c>
      <c r="D164" s="5" t="s">
        <v>18</v>
      </c>
      <c r="E164" s="5">
        <v>13999</v>
      </c>
      <c r="F164" s="5">
        <v>34</v>
      </c>
      <c r="G164" s="6">
        <f t="shared" si="2"/>
        <v>475966</v>
      </c>
    </row>
    <row r="165" spans="1:7" ht="16" x14ac:dyDescent="0.35">
      <c r="A165" s="4">
        <v>44000</v>
      </c>
      <c r="B165" s="8" t="s">
        <v>15</v>
      </c>
      <c r="C165" s="8" t="s">
        <v>17</v>
      </c>
      <c r="D165" s="8" t="s">
        <v>14</v>
      </c>
      <c r="E165" s="8">
        <v>14500</v>
      </c>
      <c r="F165" s="8">
        <v>29</v>
      </c>
      <c r="G165" s="9">
        <f t="shared" si="2"/>
        <v>420500</v>
      </c>
    </row>
    <row r="166" spans="1:7" ht="16" x14ac:dyDescent="0.35">
      <c r="A166" s="4">
        <v>44001</v>
      </c>
      <c r="B166" s="5" t="s">
        <v>19</v>
      </c>
      <c r="C166" s="5" t="s">
        <v>13</v>
      </c>
      <c r="D166" s="5" t="s">
        <v>24</v>
      </c>
      <c r="E166" s="5">
        <v>23999</v>
      </c>
      <c r="F166" s="5">
        <v>25</v>
      </c>
      <c r="G166" s="6">
        <f t="shared" si="2"/>
        <v>599975</v>
      </c>
    </row>
    <row r="167" spans="1:7" ht="16" x14ac:dyDescent="0.35">
      <c r="A167" s="4">
        <v>44002</v>
      </c>
      <c r="B167" s="8" t="s">
        <v>19</v>
      </c>
      <c r="C167" s="8" t="s">
        <v>13</v>
      </c>
      <c r="D167" s="8" t="s">
        <v>18</v>
      </c>
      <c r="E167" s="8">
        <v>1250</v>
      </c>
      <c r="F167" s="8">
        <v>31</v>
      </c>
      <c r="G167" s="9">
        <f t="shared" si="2"/>
        <v>38750</v>
      </c>
    </row>
    <row r="168" spans="1:7" ht="16" x14ac:dyDescent="0.35">
      <c r="A168" s="4">
        <v>44003</v>
      </c>
      <c r="B168" s="5" t="s">
        <v>23</v>
      </c>
      <c r="C168" s="5" t="s">
        <v>16</v>
      </c>
      <c r="D168" s="5" t="s">
        <v>18</v>
      </c>
      <c r="E168" s="5">
        <v>35600</v>
      </c>
      <c r="F168" s="5">
        <v>16</v>
      </c>
      <c r="G168" s="6">
        <f t="shared" si="2"/>
        <v>569600</v>
      </c>
    </row>
    <row r="169" spans="1:7" ht="16" x14ac:dyDescent="0.35">
      <c r="A169" s="4">
        <v>44004</v>
      </c>
      <c r="B169" s="8" t="s">
        <v>15</v>
      </c>
      <c r="C169" s="8" t="s">
        <v>17</v>
      </c>
      <c r="D169" s="8" t="s">
        <v>18</v>
      </c>
      <c r="E169" s="8">
        <v>65000</v>
      </c>
      <c r="F169" s="8">
        <v>48</v>
      </c>
      <c r="G169" s="9">
        <f t="shared" si="2"/>
        <v>3120000</v>
      </c>
    </row>
    <row r="170" spans="1:7" ht="16" x14ac:dyDescent="0.35">
      <c r="A170" s="4">
        <v>44005</v>
      </c>
      <c r="B170" s="5" t="s">
        <v>12</v>
      </c>
      <c r="C170" s="5" t="s">
        <v>17</v>
      </c>
      <c r="D170" s="5" t="s">
        <v>24</v>
      </c>
      <c r="E170" s="5">
        <v>12000</v>
      </c>
      <c r="F170" s="5">
        <v>22</v>
      </c>
      <c r="G170" s="6">
        <f t="shared" si="2"/>
        <v>264000</v>
      </c>
    </row>
    <row r="171" spans="1:7" ht="16" x14ac:dyDescent="0.35">
      <c r="A171" s="4">
        <v>44006</v>
      </c>
      <c r="B171" s="8" t="s">
        <v>23</v>
      </c>
      <c r="C171" s="8" t="s">
        <v>22</v>
      </c>
      <c r="D171" s="8" t="s">
        <v>18</v>
      </c>
      <c r="E171" s="8">
        <v>699</v>
      </c>
      <c r="F171" s="8">
        <v>6</v>
      </c>
      <c r="G171" s="9">
        <f t="shared" si="2"/>
        <v>4194</v>
      </c>
    </row>
    <row r="172" spans="1:7" ht="16" x14ac:dyDescent="0.35">
      <c r="A172" s="4">
        <v>44007</v>
      </c>
      <c r="B172" s="5" t="s">
        <v>23</v>
      </c>
      <c r="C172" s="5" t="s">
        <v>16</v>
      </c>
      <c r="D172" s="5" t="s">
        <v>14</v>
      </c>
      <c r="E172" s="5">
        <v>990</v>
      </c>
      <c r="F172" s="5">
        <v>12</v>
      </c>
      <c r="G172" s="6">
        <f t="shared" si="2"/>
        <v>11880</v>
      </c>
    </row>
    <row r="173" spans="1:7" ht="16" x14ac:dyDescent="0.35">
      <c r="A173" s="4">
        <v>44008</v>
      </c>
      <c r="B173" s="8" t="s">
        <v>23</v>
      </c>
      <c r="C173" s="8" t="s">
        <v>22</v>
      </c>
      <c r="D173" s="8" t="s">
        <v>9</v>
      </c>
      <c r="E173" s="8">
        <v>450</v>
      </c>
      <c r="F173" s="8">
        <v>44</v>
      </c>
      <c r="G173" s="9">
        <f t="shared" si="2"/>
        <v>19800</v>
      </c>
    </row>
    <row r="174" spans="1:7" ht="16" x14ac:dyDescent="0.35">
      <c r="A174" s="4">
        <v>44009</v>
      </c>
      <c r="B174" s="5" t="s">
        <v>23</v>
      </c>
      <c r="C174" s="5" t="s">
        <v>16</v>
      </c>
      <c r="D174" s="5" t="s">
        <v>9</v>
      </c>
      <c r="E174" s="5">
        <v>1499</v>
      </c>
      <c r="F174" s="5">
        <v>15</v>
      </c>
      <c r="G174" s="6">
        <f t="shared" si="2"/>
        <v>22485</v>
      </c>
    </row>
    <row r="175" spans="1:7" ht="16" x14ac:dyDescent="0.35">
      <c r="A175" s="4">
        <v>44010</v>
      </c>
      <c r="B175" s="8" t="s">
        <v>7</v>
      </c>
      <c r="C175" s="8" t="s">
        <v>8</v>
      </c>
      <c r="D175" s="8" t="s">
        <v>21</v>
      </c>
      <c r="E175" s="8">
        <v>499</v>
      </c>
      <c r="F175" s="8">
        <v>26</v>
      </c>
      <c r="G175" s="9">
        <f t="shared" si="2"/>
        <v>12974</v>
      </c>
    </row>
    <row r="176" spans="1:7" ht="16" x14ac:dyDescent="0.35">
      <c r="A176" s="4">
        <v>44011</v>
      </c>
      <c r="B176" s="5" t="s">
        <v>19</v>
      </c>
      <c r="C176" s="5" t="s">
        <v>13</v>
      </c>
      <c r="D176" s="5" t="s">
        <v>21</v>
      </c>
      <c r="E176" s="5">
        <v>960</v>
      </c>
      <c r="F176" s="5">
        <v>16</v>
      </c>
      <c r="G176" s="6">
        <f t="shared" si="2"/>
        <v>15360</v>
      </c>
    </row>
    <row r="177" spans="1:7" ht="16" x14ac:dyDescent="0.35">
      <c r="A177" s="4">
        <v>44012</v>
      </c>
      <c r="B177" s="8" t="s">
        <v>12</v>
      </c>
      <c r="C177" s="8" t="s">
        <v>16</v>
      </c>
      <c r="D177" s="8" t="s">
        <v>18</v>
      </c>
      <c r="E177" s="8">
        <v>5599</v>
      </c>
      <c r="F177" s="8">
        <v>35</v>
      </c>
      <c r="G177" s="9">
        <f t="shared" si="2"/>
        <v>195965</v>
      </c>
    </row>
    <row r="178" spans="1:7" ht="16" x14ac:dyDescent="0.35">
      <c r="A178" s="4">
        <v>44013</v>
      </c>
      <c r="B178" s="5" t="s">
        <v>15</v>
      </c>
      <c r="C178" s="5" t="s">
        <v>17</v>
      </c>
      <c r="D178" s="5" t="s">
        <v>9</v>
      </c>
      <c r="E178" s="5">
        <v>89</v>
      </c>
      <c r="F178" s="5">
        <v>36</v>
      </c>
      <c r="G178" s="6">
        <f t="shared" si="2"/>
        <v>3204</v>
      </c>
    </row>
    <row r="179" spans="1:7" ht="16" x14ac:dyDescent="0.35">
      <c r="A179" s="4">
        <v>44014</v>
      </c>
      <c r="B179" s="8" t="s">
        <v>7</v>
      </c>
      <c r="C179" s="8" t="s">
        <v>8</v>
      </c>
      <c r="D179" s="8" t="s">
        <v>14</v>
      </c>
      <c r="E179" s="8">
        <v>2550</v>
      </c>
      <c r="F179" s="8">
        <v>20</v>
      </c>
      <c r="G179" s="9">
        <f t="shared" si="2"/>
        <v>51000</v>
      </c>
    </row>
    <row r="180" spans="1:7" ht="16" x14ac:dyDescent="0.35">
      <c r="A180" s="4">
        <v>44015</v>
      </c>
      <c r="B180" s="5" t="s">
        <v>7</v>
      </c>
      <c r="C180" s="5" t="s">
        <v>8</v>
      </c>
      <c r="D180" s="5" t="s">
        <v>9</v>
      </c>
      <c r="E180" s="5">
        <v>1450</v>
      </c>
      <c r="F180" s="5">
        <v>47</v>
      </c>
      <c r="G180" s="6">
        <f t="shared" si="2"/>
        <v>68150</v>
      </c>
    </row>
    <row r="181" spans="1:7" ht="16" x14ac:dyDescent="0.35">
      <c r="A181" s="4">
        <v>44016</v>
      </c>
      <c r="B181" s="8" t="s">
        <v>23</v>
      </c>
      <c r="C181" s="8" t="s">
        <v>22</v>
      </c>
      <c r="D181" s="8" t="s">
        <v>18</v>
      </c>
      <c r="E181" s="8">
        <v>2900</v>
      </c>
      <c r="F181" s="8">
        <v>6</v>
      </c>
      <c r="G181" s="9">
        <f t="shared" si="2"/>
        <v>17400</v>
      </c>
    </row>
    <row r="182" spans="1:7" ht="16" x14ac:dyDescent="0.35">
      <c r="A182" s="4">
        <v>44017</v>
      </c>
      <c r="B182" s="5" t="s">
        <v>15</v>
      </c>
      <c r="C182" s="5" t="s">
        <v>17</v>
      </c>
      <c r="D182" s="5" t="s">
        <v>21</v>
      </c>
      <c r="E182" s="5">
        <v>120</v>
      </c>
      <c r="F182" s="5">
        <v>6</v>
      </c>
      <c r="G182" s="6">
        <f t="shared" si="2"/>
        <v>720</v>
      </c>
    </row>
    <row r="183" spans="1:7" ht="16" x14ac:dyDescent="0.35">
      <c r="A183" s="4">
        <v>44018</v>
      </c>
      <c r="B183" s="8" t="s">
        <v>19</v>
      </c>
      <c r="C183" s="8" t="s">
        <v>20</v>
      </c>
      <c r="D183" s="8" t="s">
        <v>21</v>
      </c>
      <c r="E183" s="8">
        <v>52000</v>
      </c>
      <c r="F183" s="8">
        <v>41</v>
      </c>
      <c r="G183" s="9">
        <f t="shared" si="2"/>
        <v>2132000</v>
      </c>
    </row>
    <row r="184" spans="1:7" ht="16" x14ac:dyDescent="0.35">
      <c r="A184" s="4">
        <v>44019</v>
      </c>
      <c r="B184" s="5" t="s">
        <v>23</v>
      </c>
      <c r="C184" s="5" t="s">
        <v>22</v>
      </c>
      <c r="D184" s="5" t="s">
        <v>14</v>
      </c>
      <c r="E184" s="5">
        <v>590</v>
      </c>
      <c r="F184" s="5">
        <v>29</v>
      </c>
      <c r="G184" s="6">
        <f t="shared" si="2"/>
        <v>17110</v>
      </c>
    </row>
    <row r="185" spans="1:7" ht="16" x14ac:dyDescent="0.35">
      <c r="A185" s="4">
        <v>44020</v>
      </c>
      <c r="B185" s="8" t="s">
        <v>19</v>
      </c>
      <c r="C185" s="8" t="s">
        <v>16</v>
      </c>
      <c r="D185" s="8" t="s">
        <v>24</v>
      </c>
      <c r="E185" s="8">
        <v>7999</v>
      </c>
      <c r="F185" s="8">
        <v>31</v>
      </c>
      <c r="G185" s="9">
        <f t="shared" si="2"/>
        <v>247969</v>
      </c>
    </row>
    <row r="186" spans="1:7" ht="16" x14ac:dyDescent="0.35">
      <c r="A186" s="4">
        <v>44021</v>
      </c>
      <c r="B186" s="5" t="s">
        <v>10</v>
      </c>
      <c r="C186" s="5" t="s">
        <v>17</v>
      </c>
      <c r="D186" s="5" t="s">
        <v>14</v>
      </c>
      <c r="E186" s="5">
        <v>999</v>
      </c>
      <c r="F186" s="5">
        <v>34</v>
      </c>
      <c r="G186" s="6">
        <f t="shared" si="2"/>
        <v>33966</v>
      </c>
    </row>
    <row r="187" spans="1:7" ht="16" x14ac:dyDescent="0.35">
      <c r="A187" s="4">
        <v>44022</v>
      </c>
      <c r="B187" s="8" t="s">
        <v>12</v>
      </c>
      <c r="C187" s="8" t="s">
        <v>22</v>
      </c>
      <c r="D187" s="8" t="s">
        <v>9</v>
      </c>
      <c r="E187" s="8">
        <v>990</v>
      </c>
      <c r="F187" s="8">
        <v>43</v>
      </c>
      <c r="G187" s="9">
        <f t="shared" si="2"/>
        <v>42570</v>
      </c>
    </row>
    <row r="188" spans="1:7" ht="16" x14ac:dyDescent="0.35">
      <c r="A188" s="4">
        <v>44023</v>
      </c>
      <c r="B188" s="5" t="s">
        <v>19</v>
      </c>
      <c r="C188" s="5" t="s">
        <v>20</v>
      </c>
      <c r="D188" s="5" t="s">
        <v>9</v>
      </c>
      <c r="E188" s="5">
        <v>11999</v>
      </c>
      <c r="F188" s="5">
        <v>37</v>
      </c>
      <c r="G188" s="6">
        <f t="shared" si="2"/>
        <v>443963</v>
      </c>
    </row>
    <row r="189" spans="1:7" ht="16" x14ac:dyDescent="0.35">
      <c r="A189" s="4">
        <v>44024</v>
      </c>
      <c r="B189" s="8" t="s">
        <v>19</v>
      </c>
      <c r="C189" s="8" t="s">
        <v>13</v>
      </c>
      <c r="D189" s="8" t="s">
        <v>9</v>
      </c>
      <c r="E189" s="8">
        <v>960</v>
      </c>
      <c r="F189" s="8">
        <v>7</v>
      </c>
      <c r="G189" s="9">
        <f t="shared" si="2"/>
        <v>6720</v>
      </c>
    </row>
    <row r="190" spans="1:7" ht="16" x14ac:dyDescent="0.35">
      <c r="A190" s="4">
        <v>44025</v>
      </c>
      <c r="B190" s="5" t="s">
        <v>7</v>
      </c>
      <c r="C190" s="5" t="s">
        <v>8</v>
      </c>
      <c r="D190" s="5" t="s">
        <v>14</v>
      </c>
      <c r="E190" s="5">
        <v>1450</v>
      </c>
      <c r="F190" s="5">
        <v>19</v>
      </c>
      <c r="G190" s="6">
        <f t="shared" si="2"/>
        <v>27550</v>
      </c>
    </row>
    <row r="191" spans="1:7" ht="16" x14ac:dyDescent="0.35">
      <c r="A191" s="4">
        <v>44026</v>
      </c>
      <c r="B191" s="8" t="s">
        <v>23</v>
      </c>
      <c r="C191" s="8" t="s">
        <v>22</v>
      </c>
      <c r="D191" s="8" t="s">
        <v>11</v>
      </c>
      <c r="E191" s="8">
        <v>450</v>
      </c>
      <c r="F191" s="8">
        <v>47</v>
      </c>
      <c r="G191" s="9">
        <f t="shared" si="2"/>
        <v>21150</v>
      </c>
    </row>
    <row r="192" spans="1:7" ht="16" x14ac:dyDescent="0.35">
      <c r="A192" s="4">
        <v>44027</v>
      </c>
      <c r="B192" s="5" t="s">
        <v>10</v>
      </c>
      <c r="C192" s="5" t="s">
        <v>22</v>
      </c>
      <c r="D192" s="5" t="s">
        <v>14</v>
      </c>
      <c r="E192" s="5">
        <v>1499</v>
      </c>
      <c r="F192" s="5">
        <v>37</v>
      </c>
      <c r="G192" s="6">
        <f t="shared" si="2"/>
        <v>55463</v>
      </c>
    </row>
    <row r="193" spans="1:7" ht="16" x14ac:dyDescent="0.35">
      <c r="A193" s="4">
        <v>44028</v>
      </c>
      <c r="B193" s="8" t="s">
        <v>12</v>
      </c>
      <c r="C193" s="8" t="s">
        <v>20</v>
      </c>
      <c r="D193" s="8" t="s">
        <v>11</v>
      </c>
      <c r="E193" s="8">
        <v>79999</v>
      </c>
      <c r="F193" s="8">
        <v>4</v>
      </c>
      <c r="G193" s="9">
        <f t="shared" si="2"/>
        <v>319996</v>
      </c>
    </row>
    <row r="194" spans="1:7" ht="16" x14ac:dyDescent="0.35">
      <c r="A194" s="4">
        <v>44029</v>
      </c>
      <c r="B194" s="5" t="s">
        <v>12</v>
      </c>
      <c r="C194" s="5" t="s">
        <v>17</v>
      </c>
      <c r="D194" s="5" t="s">
        <v>21</v>
      </c>
      <c r="E194" s="5">
        <v>999</v>
      </c>
      <c r="F194" s="5">
        <v>45</v>
      </c>
      <c r="G194" s="6">
        <f t="shared" ref="G194:G257" si="3">E194*F194</f>
        <v>44955</v>
      </c>
    </row>
    <row r="195" spans="1:7" ht="16" x14ac:dyDescent="0.35">
      <c r="A195" s="4">
        <v>44030</v>
      </c>
      <c r="B195" s="8" t="s">
        <v>19</v>
      </c>
      <c r="C195" s="8" t="s">
        <v>20</v>
      </c>
      <c r="D195" s="8" t="s">
        <v>9</v>
      </c>
      <c r="E195" s="8">
        <v>52000</v>
      </c>
      <c r="F195" s="8">
        <v>15</v>
      </c>
      <c r="G195" s="9">
        <f t="shared" si="3"/>
        <v>780000</v>
      </c>
    </row>
    <row r="196" spans="1:7" ht="16" x14ac:dyDescent="0.35">
      <c r="A196" s="4">
        <v>44031</v>
      </c>
      <c r="B196" s="5" t="s">
        <v>19</v>
      </c>
      <c r="C196" s="5" t="s">
        <v>20</v>
      </c>
      <c r="D196" s="5" t="s">
        <v>18</v>
      </c>
      <c r="E196" s="5">
        <v>52000</v>
      </c>
      <c r="F196" s="5">
        <v>39</v>
      </c>
      <c r="G196" s="6">
        <f t="shared" si="3"/>
        <v>2028000</v>
      </c>
    </row>
    <row r="197" spans="1:7" ht="16" x14ac:dyDescent="0.35">
      <c r="A197" s="4">
        <v>44032</v>
      </c>
      <c r="B197" s="8" t="s">
        <v>19</v>
      </c>
      <c r="C197" s="8" t="s">
        <v>13</v>
      </c>
      <c r="D197" s="8" t="s">
        <v>14</v>
      </c>
      <c r="E197" s="8">
        <v>960</v>
      </c>
      <c r="F197" s="8">
        <v>33</v>
      </c>
      <c r="G197" s="9">
        <f t="shared" si="3"/>
        <v>31680</v>
      </c>
    </row>
    <row r="198" spans="1:7" ht="16" x14ac:dyDescent="0.35">
      <c r="A198" s="4">
        <v>44033</v>
      </c>
      <c r="B198" s="5" t="s">
        <v>19</v>
      </c>
      <c r="C198" s="5" t="s">
        <v>13</v>
      </c>
      <c r="D198" s="5" t="s">
        <v>14</v>
      </c>
      <c r="E198" s="5">
        <v>1450</v>
      </c>
      <c r="F198" s="5">
        <v>34</v>
      </c>
      <c r="G198" s="6">
        <f t="shared" si="3"/>
        <v>49300</v>
      </c>
    </row>
    <row r="199" spans="1:7" ht="16" x14ac:dyDescent="0.35">
      <c r="A199" s="4">
        <v>44034</v>
      </c>
      <c r="B199" s="8" t="s">
        <v>19</v>
      </c>
      <c r="C199" s="8" t="s">
        <v>16</v>
      </c>
      <c r="D199" s="8" t="s">
        <v>18</v>
      </c>
      <c r="E199" s="8">
        <v>2999</v>
      </c>
      <c r="F199" s="8">
        <v>33</v>
      </c>
      <c r="G199" s="9">
        <f t="shared" si="3"/>
        <v>98967</v>
      </c>
    </row>
    <row r="200" spans="1:7" ht="16" x14ac:dyDescent="0.35">
      <c r="A200" s="4">
        <v>44035</v>
      </c>
      <c r="B200" s="5" t="s">
        <v>12</v>
      </c>
      <c r="C200" s="5" t="s">
        <v>13</v>
      </c>
      <c r="D200" s="5" t="s">
        <v>21</v>
      </c>
      <c r="E200" s="5">
        <v>1250</v>
      </c>
      <c r="F200" s="5">
        <v>14</v>
      </c>
      <c r="G200" s="6">
        <f t="shared" si="3"/>
        <v>17500</v>
      </c>
    </row>
    <row r="201" spans="1:7" ht="16" x14ac:dyDescent="0.35">
      <c r="A201" s="4">
        <v>44036</v>
      </c>
      <c r="B201" s="8" t="s">
        <v>15</v>
      </c>
      <c r="C201" s="8" t="s">
        <v>17</v>
      </c>
      <c r="D201" s="8" t="s">
        <v>9</v>
      </c>
      <c r="E201" s="8">
        <v>120</v>
      </c>
      <c r="F201" s="8">
        <v>41</v>
      </c>
      <c r="G201" s="9">
        <f t="shared" si="3"/>
        <v>4920</v>
      </c>
    </row>
    <row r="202" spans="1:7" ht="16" x14ac:dyDescent="0.35">
      <c r="A202" s="4">
        <v>44037</v>
      </c>
      <c r="B202" s="5" t="s">
        <v>10</v>
      </c>
      <c r="C202" s="5" t="s">
        <v>8</v>
      </c>
      <c r="D202" s="5" t="s">
        <v>18</v>
      </c>
      <c r="E202" s="5">
        <v>1450</v>
      </c>
      <c r="F202" s="5">
        <v>22</v>
      </c>
      <c r="G202" s="6">
        <f t="shared" si="3"/>
        <v>31900</v>
      </c>
    </row>
    <row r="203" spans="1:7" ht="16" x14ac:dyDescent="0.35">
      <c r="A203" s="4">
        <v>44038</v>
      </c>
      <c r="B203" s="8" t="s">
        <v>10</v>
      </c>
      <c r="C203" s="8" t="s">
        <v>20</v>
      </c>
      <c r="D203" s="8" t="s">
        <v>9</v>
      </c>
      <c r="E203" s="8">
        <v>89999</v>
      </c>
      <c r="F203" s="8">
        <v>15</v>
      </c>
      <c r="G203" s="9">
        <f t="shared" si="3"/>
        <v>1349985</v>
      </c>
    </row>
    <row r="204" spans="1:7" ht="16" x14ac:dyDescent="0.35">
      <c r="A204" s="4">
        <v>44039</v>
      </c>
      <c r="B204" s="5" t="s">
        <v>23</v>
      </c>
      <c r="C204" s="5" t="s">
        <v>22</v>
      </c>
      <c r="D204" s="5" t="s">
        <v>14</v>
      </c>
      <c r="E204" s="5">
        <v>1999</v>
      </c>
      <c r="F204" s="5">
        <v>48</v>
      </c>
      <c r="G204" s="6">
        <f t="shared" si="3"/>
        <v>95952</v>
      </c>
    </row>
    <row r="205" spans="1:7" ht="16" x14ac:dyDescent="0.35">
      <c r="A205" s="4">
        <v>44040</v>
      </c>
      <c r="B205" s="8" t="s">
        <v>23</v>
      </c>
      <c r="C205" s="8" t="s">
        <v>16</v>
      </c>
      <c r="D205" s="8" t="s">
        <v>18</v>
      </c>
      <c r="E205" s="8">
        <v>2900</v>
      </c>
      <c r="F205" s="8">
        <v>49</v>
      </c>
      <c r="G205" s="9">
        <f t="shared" si="3"/>
        <v>142100</v>
      </c>
    </row>
    <row r="206" spans="1:7" ht="16" x14ac:dyDescent="0.35">
      <c r="A206" s="4">
        <v>44041</v>
      </c>
      <c r="B206" s="5" t="s">
        <v>19</v>
      </c>
      <c r="C206" s="5" t="s">
        <v>20</v>
      </c>
      <c r="D206" s="5" t="s">
        <v>21</v>
      </c>
      <c r="E206" s="5">
        <v>700</v>
      </c>
      <c r="F206" s="5">
        <v>50</v>
      </c>
      <c r="G206" s="6">
        <f t="shared" si="3"/>
        <v>35000</v>
      </c>
    </row>
    <row r="207" spans="1:7" ht="16" x14ac:dyDescent="0.35">
      <c r="A207" s="4">
        <v>44042</v>
      </c>
      <c r="B207" s="8" t="s">
        <v>15</v>
      </c>
      <c r="C207" s="8" t="s">
        <v>17</v>
      </c>
      <c r="D207" s="8" t="s">
        <v>18</v>
      </c>
      <c r="E207" s="8">
        <v>200</v>
      </c>
      <c r="F207" s="8">
        <v>41</v>
      </c>
      <c r="G207" s="9">
        <f t="shared" si="3"/>
        <v>8200</v>
      </c>
    </row>
    <row r="208" spans="1:7" ht="16" x14ac:dyDescent="0.35">
      <c r="A208" s="4">
        <v>44043</v>
      </c>
      <c r="B208" s="5" t="s">
        <v>7</v>
      </c>
      <c r="C208" s="5" t="s">
        <v>8</v>
      </c>
      <c r="D208" s="5" t="s">
        <v>14</v>
      </c>
      <c r="E208" s="5">
        <v>499</v>
      </c>
      <c r="F208" s="5">
        <v>29</v>
      </c>
      <c r="G208" s="6">
        <f t="shared" si="3"/>
        <v>14471</v>
      </c>
    </row>
    <row r="209" spans="1:7" ht="16" x14ac:dyDescent="0.35">
      <c r="A209" s="4">
        <v>44044</v>
      </c>
      <c r="B209" s="8" t="s">
        <v>12</v>
      </c>
      <c r="C209" s="8" t="s">
        <v>8</v>
      </c>
      <c r="D209" s="8" t="s">
        <v>24</v>
      </c>
      <c r="E209" s="8">
        <v>5599</v>
      </c>
      <c r="F209" s="8">
        <v>36</v>
      </c>
      <c r="G209" s="9">
        <f t="shared" si="3"/>
        <v>201564</v>
      </c>
    </row>
    <row r="210" spans="1:7" ht="16" x14ac:dyDescent="0.35">
      <c r="A210" s="4">
        <v>44045</v>
      </c>
      <c r="B210" s="5" t="s">
        <v>10</v>
      </c>
      <c r="C210" s="5" t="s">
        <v>17</v>
      </c>
      <c r="D210" s="5" t="s">
        <v>18</v>
      </c>
      <c r="E210" s="5">
        <v>100</v>
      </c>
      <c r="F210" s="5">
        <v>39</v>
      </c>
      <c r="G210" s="6">
        <f t="shared" si="3"/>
        <v>3900</v>
      </c>
    </row>
    <row r="211" spans="1:7" ht="16" x14ac:dyDescent="0.35">
      <c r="A211" s="4">
        <v>44046</v>
      </c>
      <c r="B211" s="8" t="s">
        <v>19</v>
      </c>
      <c r="C211" s="8" t="s">
        <v>16</v>
      </c>
      <c r="D211" s="8" t="s">
        <v>18</v>
      </c>
      <c r="E211" s="8">
        <v>79999</v>
      </c>
      <c r="F211" s="8">
        <v>9</v>
      </c>
      <c r="G211" s="9">
        <f t="shared" si="3"/>
        <v>719991</v>
      </c>
    </row>
    <row r="212" spans="1:7" ht="16" x14ac:dyDescent="0.35">
      <c r="A212" s="4">
        <v>44047</v>
      </c>
      <c r="B212" s="5" t="s">
        <v>12</v>
      </c>
      <c r="C212" s="5" t="s">
        <v>20</v>
      </c>
      <c r="D212" s="5" t="s">
        <v>14</v>
      </c>
      <c r="E212" s="5">
        <v>700</v>
      </c>
      <c r="F212" s="5">
        <v>38</v>
      </c>
      <c r="G212" s="6">
        <f t="shared" si="3"/>
        <v>26600</v>
      </c>
    </row>
    <row r="213" spans="1:7" ht="16" x14ac:dyDescent="0.35">
      <c r="A213" s="4">
        <v>44048</v>
      </c>
      <c r="B213" s="8" t="s">
        <v>19</v>
      </c>
      <c r="C213" s="8" t="s">
        <v>13</v>
      </c>
      <c r="D213" s="8" t="s">
        <v>9</v>
      </c>
      <c r="E213" s="8">
        <v>550</v>
      </c>
      <c r="F213" s="8">
        <v>25</v>
      </c>
      <c r="G213" s="9">
        <f t="shared" si="3"/>
        <v>13750</v>
      </c>
    </row>
    <row r="214" spans="1:7" ht="16" x14ac:dyDescent="0.35">
      <c r="A214" s="4">
        <v>44049</v>
      </c>
      <c r="B214" s="5" t="s">
        <v>23</v>
      </c>
      <c r="C214" s="5" t="s">
        <v>22</v>
      </c>
      <c r="D214" s="5" t="s">
        <v>18</v>
      </c>
      <c r="E214" s="5">
        <v>1499</v>
      </c>
      <c r="F214" s="5">
        <v>16</v>
      </c>
      <c r="G214" s="6">
        <f t="shared" si="3"/>
        <v>23984</v>
      </c>
    </row>
    <row r="215" spans="1:7" ht="16" x14ac:dyDescent="0.35">
      <c r="A215" s="4">
        <v>44050</v>
      </c>
      <c r="B215" s="8" t="s">
        <v>15</v>
      </c>
      <c r="C215" s="8" t="s">
        <v>17</v>
      </c>
      <c r="D215" s="8" t="s">
        <v>21</v>
      </c>
      <c r="E215" s="8">
        <v>120</v>
      </c>
      <c r="F215" s="8">
        <v>22</v>
      </c>
      <c r="G215" s="9">
        <f t="shared" si="3"/>
        <v>2640</v>
      </c>
    </row>
    <row r="216" spans="1:7" ht="16" x14ac:dyDescent="0.35">
      <c r="A216" s="4">
        <v>44051</v>
      </c>
      <c r="B216" s="5" t="s">
        <v>7</v>
      </c>
      <c r="C216" s="5" t="s">
        <v>8</v>
      </c>
      <c r="D216" s="5" t="s">
        <v>11</v>
      </c>
      <c r="E216" s="5">
        <v>1450</v>
      </c>
      <c r="F216" s="5">
        <v>20</v>
      </c>
      <c r="G216" s="6">
        <f t="shared" si="3"/>
        <v>29000</v>
      </c>
    </row>
    <row r="217" spans="1:7" ht="16" x14ac:dyDescent="0.35">
      <c r="A217" s="4">
        <v>44052</v>
      </c>
      <c r="B217" s="8" t="s">
        <v>23</v>
      </c>
      <c r="C217" s="8" t="s">
        <v>16</v>
      </c>
      <c r="D217" s="8" t="s">
        <v>14</v>
      </c>
      <c r="E217" s="8">
        <v>1999</v>
      </c>
      <c r="F217" s="8">
        <v>23</v>
      </c>
      <c r="G217" s="9">
        <f t="shared" si="3"/>
        <v>45977</v>
      </c>
    </row>
    <row r="218" spans="1:7" ht="16" x14ac:dyDescent="0.35">
      <c r="A218" s="4">
        <v>44053</v>
      </c>
      <c r="B218" s="5" t="s">
        <v>7</v>
      </c>
      <c r="C218" s="5" t="s">
        <v>8</v>
      </c>
      <c r="D218" s="5" t="s">
        <v>18</v>
      </c>
      <c r="E218" s="5">
        <v>800</v>
      </c>
      <c r="F218" s="5">
        <v>43</v>
      </c>
      <c r="G218" s="6">
        <f t="shared" si="3"/>
        <v>34400</v>
      </c>
    </row>
    <row r="219" spans="1:7" ht="16" x14ac:dyDescent="0.35">
      <c r="A219" s="4">
        <v>44054</v>
      </c>
      <c r="B219" s="8" t="s">
        <v>12</v>
      </c>
      <c r="C219" s="8" t="s">
        <v>17</v>
      </c>
      <c r="D219" s="8" t="s">
        <v>21</v>
      </c>
      <c r="E219" s="8">
        <v>100</v>
      </c>
      <c r="F219" s="8">
        <v>41</v>
      </c>
      <c r="G219" s="9">
        <f t="shared" si="3"/>
        <v>4100</v>
      </c>
    </row>
    <row r="220" spans="1:7" ht="16" x14ac:dyDescent="0.35">
      <c r="A220" s="4">
        <v>44055</v>
      </c>
      <c r="B220" s="5" t="s">
        <v>7</v>
      </c>
      <c r="C220" s="5" t="s">
        <v>8</v>
      </c>
      <c r="D220" s="5" t="s">
        <v>14</v>
      </c>
      <c r="E220" s="5">
        <v>13999</v>
      </c>
      <c r="F220" s="5">
        <v>37</v>
      </c>
      <c r="G220" s="6">
        <f t="shared" si="3"/>
        <v>517963</v>
      </c>
    </row>
    <row r="221" spans="1:7" ht="16" x14ac:dyDescent="0.35">
      <c r="A221" s="4">
        <v>44056</v>
      </c>
      <c r="B221" s="8" t="s">
        <v>19</v>
      </c>
      <c r="C221" s="8" t="s">
        <v>20</v>
      </c>
      <c r="D221" s="8" t="s">
        <v>18</v>
      </c>
      <c r="E221" s="8">
        <v>22000</v>
      </c>
      <c r="F221" s="8">
        <v>45</v>
      </c>
      <c r="G221" s="9">
        <f t="shared" si="3"/>
        <v>990000</v>
      </c>
    </row>
    <row r="222" spans="1:7" ht="16" x14ac:dyDescent="0.35">
      <c r="A222" s="4">
        <v>44057</v>
      </c>
      <c r="B222" s="5" t="s">
        <v>19</v>
      </c>
      <c r="C222" s="5" t="s">
        <v>20</v>
      </c>
      <c r="D222" s="5" t="s">
        <v>24</v>
      </c>
      <c r="E222" s="5">
        <v>89999</v>
      </c>
      <c r="F222" s="5">
        <v>15</v>
      </c>
      <c r="G222" s="6">
        <f t="shared" si="3"/>
        <v>1349985</v>
      </c>
    </row>
    <row r="223" spans="1:7" ht="16" x14ac:dyDescent="0.35">
      <c r="A223" s="4">
        <v>44058</v>
      </c>
      <c r="B223" s="8" t="s">
        <v>10</v>
      </c>
      <c r="C223" s="8" t="s">
        <v>16</v>
      </c>
      <c r="D223" s="8" t="s">
        <v>18</v>
      </c>
      <c r="E223" s="8">
        <v>13999</v>
      </c>
      <c r="F223" s="8">
        <v>22</v>
      </c>
      <c r="G223" s="9">
        <f t="shared" si="3"/>
        <v>307978</v>
      </c>
    </row>
    <row r="224" spans="1:7" ht="16" x14ac:dyDescent="0.35">
      <c r="A224" s="4">
        <v>44059</v>
      </c>
      <c r="B224" s="5" t="s">
        <v>12</v>
      </c>
      <c r="C224" s="5" t="s">
        <v>22</v>
      </c>
      <c r="D224" s="5" t="s">
        <v>14</v>
      </c>
      <c r="E224" s="5">
        <v>2900</v>
      </c>
      <c r="F224" s="5">
        <v>20</v>
      </c>
      <c r="G224" s="6">
        <f t="shared" si="3"/>
        <v>58000</v>
      </c>
    </row>
    <row r="225" spans="1:7" ht="16" x14ac:dyDescent="0.35">
      <c r="A225" s="4">
        <v>44060</v>
      </c>
      <c r="B225" s="8" t="s">
        <v>10</v>
      </c>
      <c r="C225" s="8" t="s">
        <v>20</v>
      </c>
      <c r="D225" s="8" t="s">
        <v>18</v>
      </c>
      <c r="E225" s="8">
        <v>33000</v>
      </c>
      <c r="F225" s="8">
        <v>16</v>
      </c>
      <c r="G225" s="9">
        <f t="shared" si="3"/>
        <v>528000</v>
      </c>
    </row>
    <row r="226" spans="1:7" ht="16" x14ac:dyDescent="0.35">
      <c r="A226" s="4">
        <v>44061</v>
      </c>
      <c r="B226" s="5" t="s">
        <v>19</v>
      </c>
      <c r="C226" s="5" t="s">
        <v>16</v>
      </c>
      <c r="D226" s="5" t="s">
        <v>11</v>
      </c>
      <c r="E226" s="5">
        <v>22000</v>
      </c>
      <c r="F226" s="5">
        <v>17</v>
      </c>
      <c r="G226" s="6">
        <f t="shared" si="3"/>
        <v>374000</v>
      </c>
    </row>
    <row r="227" spans="1:7" ht="16" x14ac:dyDescent="0.35">
      <c r="A227" s="4">
        <v>44062</v>
      </c>
      <c r="B227" s="8" t="s">
        <v>23</v>
      </c>
      <c r="C227" s="8" t="s">
        <v>22</v>
      </c>
      <c r="D227" s="8" t="s">
        <v>11</v>
      </c>
      <c r="E227" s="8">
        <v>699</v>
      </c>
      <c r="F227" s="8">
        <v>50</v>
      </c>
      <c r="G227" s="9">
        <f t="shared" si="3"/>
        <v>34950</v>
      </c>
    </row>
    <row r="228" spans="1:7" ht="16" x14ac:dyDescent="0.35">
      <c r="A228" s="4">
        <v>44063</v>
      </c>
      <c r="B228" s="5" t="s">
        <v>12</v>
      </c>
      <c r="C228" s="5" t="s">
        <v>20</v>
      </c>
      <c r="D228" s="5" t="s">
        <v>14</v>
      </c>
      <c r="E228" s="5">
        <v>499</v>
      </c>
      <c r="F228" s="5">
        <v>4</v>
      </c>
      <c r="G228" s="6">
        <f t="shared" si="3"/>
        <v>1996</v>
      </c>
    </row>
    <row r="229" spans="1:7" ht="16" x14ac:dyDescent="0.35">
      <c r="A229" s="4">
        <v>44064</v>
      </c>
      <c r="B229" s="8" t="s">
        <v>23</v>
      </c>
      <c r="C229" s="8" t="s">
        <v>22</v>
      </c>
      <c r="D229" s="8" t="s">
        <v>18</v>
      </c>
      <c r="E229" s="8">
        <v>590</v>
      </c>
      <c r="F229" s="8">
        <v>43</v>
      </c>
      <c r="G229" s="9">
        <f t="shared" si="3"/>
        <v>25370</v>
      </c>
    </row>
    <row r="230" spans="1:7" ht="16" x14ac:dyDescent="0.35">
      <c r="A230" s="4">
        <v>44065</v>
      </c>
      <c r="B230" s="5" t="s">
        <v>23</v>
      </c>
      <c r="C230" s="5" t="s">
        <v>22</v>
      </c>
      <c r="D230" s="5" t="s">
        <v>11</v>
      </c>
      <c r="E230" s="5">
        <v>590</v>
      </c>
      <c r="F230" s="5">
        <v>42</v>
      </c>
      <c r="G230" s="6">
        <f t="shared" si="3"/>
        <v>24780</v>
      </c>
    </row>
    <row r="231" spans="1:7" ht="16" x14ac:dyDescent="0.35">
      <c r="A231" s="4">
        <v>44066</v>
      </c>
      <c r="B231" s="8" t="s">
        <v>15</v>
      </c>
      <c r="C231" s="8" t="s">
        <v>17</v>
      </c>
      <c r="D231" s="8" t="s">
        <v>9</v>
      </c>
      <c r="E231" s="8">
        <v>120</v>
      </c>
      <c r="F231" s="8">
        <v>9</v>
      </c>
      <c r="G231" s="9">
        <f t="shared" si="3"/>
        <v>1080</v>
      </c>
    </row>
    <row r="232" spans="1:7" ht="16" x14ac:dyDescent="0.35">
      <c r="A232" s="4">
        <v>44067</v>
      </c>
      <c r="B232" s="5" t="s">
        <v>12</v>
      </c>
      <c r="C232" s="5" t="s">
        <v>20</v>
      </c>
      <c r="D232" s="5" t="s">
        <v>24</v>
      </c>
      <c r="E232" s="5">
        <v>52000</v>
      </c>
      <c r="F232" s="5">
        <v>40</v>
      </c>
      <c r="G232" s="6">
        <f t="shared" si="3"/>
        <v>2080000</v>
      </c>
    </row>
    <row r="233" spans="1:7" ht="16" x14ac:dyDescent="0.35">
      <c r="A233" s="4">
        <v>44068</v>
      </c>
      <c r="B233" s="8" t="s">
        <v>19</v>
      </c>
      <c r="C233" s="8" t="s">
        <v>16</v>
      </c>
      <c r="D233" s="8" t="s">
        <v>18</v>
      </c>
      <c r="E233" s="8">
        <v>7999</v>
      </c>
      <c r="F233" s="8">
        <v>14</v>
      </c>
      <c r="G233" s="9">
        <f t="shared" si="3"/>
        <v>111986</v>
      </c>
    </row>
    <row r="234" spans="1:7" ht="16" x14ac:dyDescent="0.35">
      <c r="A234" s="4">
        <v>44069</v>
      </c>
      <c r="B234" s="5" t="s">
        <v>12</v>
      </c>
      <c r="C234" s="5" t="s">
        <v>13</v>
      </c>
      <c r="D234" s="5" t="s">
        <v>21</v>
      </c>
      <c r="E234" s="5">
        <v>550</v>
      </c>
      <c r="F234" s="5">
        <v>9</v>
      </c>
      <c r="G234" s="6">
        <f t="shared" si="3"/>
        <v>4950</v>
      </c>
    </row>
    <row r="235" spans="1:7" ht="16" x14ac:dyDescent="0.35">
      <c r="A235" s="4">
        <v>44070</v>
      </c>
      <c r="B235" s="8" t="s">
        <v>19</v>
      </c>
      <c r="C235" s="8" t="s">
        <v>20</v>
      </c>
      <c r="D235" s="8" t="s">
        <v>18</v>
      </c>
      <c r="E235" s="8">
        <v>79999</v>
      </c>
      <c r="F235" s="8">
        <v>10</v>
      </c>
      <c r="G235" s="9">
        <f t="shared" si="3"/>
        <v>799990</v>
      </c>
    </row>
    <row r="236" spans="1:7" ht="16" x14ac:dyDescent="0.35">
      <c r="A236" s="4">
        <v>44071</v>
      </c>
      <c r="B236" s="5" t="s">
        <v>10</v>
      </c>
      <c r="C236" s="5" t="s">
        <v>16</v>
      </c>
      <c r="D236" s="5" t="s">
        <v>11</v>
      </c>
      <c r="E236" s="5">
        <v>1999</v>
      </c>
      <c r="F236" s="5">
        <v>37</v>
      </c>
      <c r="G236" s="6">
        <f t="shared" si="3"/>
        <v>73963</v>
      </c>
    </row>
    <row r="237" spans="1:7" ht="16" x14ac:dyDescent="0.35">
      <c r="A237" s="4">
        <v>44072</v>
      </c>
      <c r="B237" s="8" t="s">
        <v>12</v>
      </c>
      <c r="C237" s="8" t="s">
        <v>20</v>
      </c>
      <c r="D237" s="8" t="s">
        <v>18</v>
      </c>
      <c r="E237" s="8">
        <v>89999</v>
      </c>
      <c r="F237" s="8">
        <v>29</v>
      </c>
      <c r="G237" s="9">
        <f t="shared" si="3"/>
        <v>2609971</v>
      </c>
    </row>
    <row r="238" spans="1:7" ht="16" x14ac:dyDescent="0.35">
      <c r="A238" s="4">
        <v>44073</v>
      </c>
      <c r="B238" s="5" t="s">
        <v>19</v>
      </c>
      <c r="C238" s="5" t="s">
        <v>20</v>
      </c>
      <c r="D238" s="5" t="s">
        <v>9</v>
      </c>
      <c r="E238" s="5">
        <v>799</v>
      </c>
      <c r="F238" s="5">
        <v>44</v>
      </c>
      <c r="G238" s="6">
        <f t="shared" si="3"/>
        <v>35156</v>
      </c>
    </row>
    <row r="239" spans="1:7" ht="16" x14ac:dyDescent="0.35">
      <c r="A239" s="4">
        <v>44074</v>
      </c>
      <c r="B239" s="8" t="s">
        <v>19</v>
      </c>
      <c r="C239" s="8" t="s">
        <v>20</v>
      </c>
      <c r="D239" s="8" t="s">
        <v>24</v>
      </c>
      <c r="E239" s="8">
        <v>3990</v>
      </c>
      <c r="F239" s="8">
        <v>31</v>
      </c>
      <c r="G239" s="9">
        <f t="shared" si="3"/>
        <v>123690</v>
      </c>
    </row>
    <row r="240" spans="1:7" ht="16" x14ac:dyDescent="0.35">
      <c r="A240" s="4">
        <v>44075</v>
      </c>
      <c r="B240" s="5" t="s">
        <v>12</v>
      </c>
      <c r="C240" s="5" t="s">
        <v>16</v>
      </c>
      <c r="D240" s="5" t="s">
        <v>14</v>
      </c>
      <c r="E240" s="5">
        <v>52000</v>
      </c>
      <c r="F240" s="5">
        <v>29</v>
      </c>
      <c r="G240" s="6">
        <f t="shared" si="3"/>
        <v>1508000</v>
      </c>
    </row>
    <row r="241" spans="1:7" ht="16" x14ac:dyDescent="0.35">
      <c r="A241" s="4">
        <v>44076</v>
      </c>
      <c r="B241" s="8" t="s">
        <v>7</v>
      </c>
      <c r="C241" s="8" t="s">
        <v>8</v>
      </c>
      <c r="D241" s="8" t="s">
        <v>18</v>
      </c>
      <c r="E241" s="8">
        <v>13999</v>
      </c>
      <c r="F241" s="8">
        <v>34</v>
      </c>
      <c r="G241" s="9">
        <f t="shared" si="3"/>
        <v>475966</v>
      </c>
    </row>
    <row r="242" spans="1:7" ht="16" x14ac:dyDescent="0.35">
      <c r="A242" s="4">
        <v>44077</v>
      </c>
      <c r="B242" s="5" t="s">
        <v>12</v>
      </c>
      <c r="C242" s="5" t="s">
        <v>17</v>
      </c>
      <c r="D242" s="5" t="s">
        <v>14</v>
      </c>
      <c r="E242" s="5">
        <v>120</v>
      </c>
      <c r="F242" s="5">
        <v>29</v>
      </c>
      <c r="G242" s="6">
        <f t="shared" si="3"/>
        <v>3480</v>
      </c>
    </row>
    <row r="243" spans="1:7" ht="16" x14ac:dyDescent="0.35">
      <c r="A243" s="4">
        <v>44078</v>
      </c>
      <c r="B243" s="8" t="s">
        <v>19</v>
      </c>
      <c r="C243" s="8" t="s">
        <v>13</v>
      </c>
      <c r="D243" s="8" t="s">
        <v>9</v>
      </c>
      <c r="E243" s="8">
        <v>23999</v>
      </c>
      <c r="F243" s="8">
        <v>25</v>
      </c>
      <c r="G243" s="9">
        <f t="shared" si="3"/>
        <v>599975</v>
      </c>
    </row>
    <row r="244" spans="1:7" ht="16" x14ac:dyDescent="0.35">
      <c r="A244" s="4">
        <v>44079</v>
      </c>
      <c r="B244" s="5" t="s">
        <v>12</v>
      </c>
      <c r="C244" s="5" t="s">
        <v>13</v>
      </c>
      <c r="D244" s="5" t="s">
        <v>18</v>
      </c>
      <c r="E244" s="5">
        <v>1250</v>
      </c>
      <c r="F244" s="5">
        <v>31</v>
      </c>
      <c r="G244" s="6">
        <f t="shared" si="3"/>
        <v>38750</v>
      </c>
    </row>
    <row r="245" spans="1:7" ht="16" x14ac:dyDescent="0.35">
      <c r="A245" s="4">
        <v>44080</v>
      </c>
      <c r="B245" s="8" t="s">
        <v>23</v>
      </c>
      <c r="C245" s="8" t="s">
        <v>16</v>
      </c>
      <c r="D245" s="8" t="s">
        <v>18</v>
      </c>
      <c r="E245" s="8">
        <v>45000</v>
      </c>
      <c r="F245" s="8">
        <v>16</v>
      </c>
      <c r="G245" s="9">
        <f t="shared" si="3"/>
        <v>720000</v>
      </c>
    </row>
    <row r="246" spans="1:7" ht="16" x14ac:dyDescent="0.35">
      <c r="A246" s="4">
        <v>44081</v>
      </c>
      <c r="B246" s="5" t="s">
        <v>10</v>
      </c>
      <c r="C246" s="5" t="s">
        <v>17</v>
      </c>
      <c r="D246" s="5" t="s">
        <v>14</v>
      </c>
      <c r="E246" s="5">
        <v>120</v>
      </c>
      <c r="F246" s="5">
        <v>48</v>
      </c>
      <c r="G246" s="6">
        <f t="shared" si="3"/>
        <v>5760</v>
      </c>
    </row>
    <row r="247" spans="1:7" ht="16" x14ac:dyDescent="0.35">
      <c r="A247" s="4">
        <v>44082</v>
      </c>
      <c r="B247" s="8" t="s">
        <v>12</v>
      </c>
      <c r="C247" s="8" t="s">
        <v>16</v>
      </c>
      <c r="D247" s="8" t="s">
        <v>21</v>
      </c>
      <c r="E247" s="8">
        <v>25600</v>
      </c>
      <c r="F247" s="8">
        <v>22</v>
      </c>
      <c r="G247" s="9">
        <f t="shared" si="3"/>
        <v>563200</v>
      </c>
    </row>
    <row r="248" spans="1:7" ht="16" x14ac:dyDescent="0.35">
      <c r="A248" s="4">
        <v>44083</v>
      </c>
      <c r="B248" s="5" t="s">
        <v>23</v>
      </c>
      <c r="C248" s="5" t="s">
        <v>22</v>
      </c>
      <c r="D248" s="5" t="s">
        <v>18</v>
      </c>
      <c r="E248" s="5">
        <v>699</v>
      </c>
      <c r="F248" s="5">
        <v>6</v>
      </c>
      <c r="G248" s="6">
        <f t="shared" si="3"/>
        <v>4194</v>
      </c>
    </row>
    <row r="249" spans="1:7" ht="16" x14ac:dyDescent="0.35">
      <c r="A249" s="4">
        <v>44084</v>
      </c>
      <c r="B249" s="8" t="s">
        <v>23</v>
      </c>
      <c r="C249" s="8" t="s">
        <v>16</v>
      </c>
      <c r="D249" s="8" t="s">
        <v>14</v>
      </c>
      <c r="E249" s="8">
        <v>99620</v>
      </c>
      <c r="F249" s="8">
        <v>12</v>
      </c>
      <c r="G249" s="9">
        <f t="shared" si="3"/>
        <v>1195440</v>
      </c>
    </row>
    <row r="250" spans="1:7" ht="16" x14ac:dyDescent="0.35">
      <c r="A250" s="4">
        <v>44085</v>
      </c>
      <c r="B250" s="5" t="s">
        <v>12</v>
      </c>
      <c r="C250" s="5" t="s">
        <v>22</v>
      </c>
      <c r="D250" s="5" t="s">
        <v>24</v>
      </c>
      <c r="E250" s="5">
        <v>450</v>
      </c>
      <c r="F250" s="5">
        <v>44</v>
      </c>
      <c r="G250" s="6">
        <f t="shared" si="3"/>
        <v>19800</v>
      </c>
    </row>
    <row r="251" spans="1:7" ht="16" x14ac:dyDescent="0.35">
      <c r="A251" s="4">
        <v>44086</v>
      </c>
      <c r="B251" s="8" t="s">
        <v>23</v>
      </c>
      <c r="C251" s="8" t="s">
        <v>22</v>
      </c>
      <c r="D251" s="8" t="s">
        <v>14</v>
      </c>
      <c r="E251" s="8">
        <v>1499</v>
      </c>
      <c r="F251" s="8">
        <v>15</v>
      </c>
      <c r="G251" s="9">
        <f t="shared" si="3"/>
        <v>22485</v>
      </c>
    </row>
    <row r="252" spans="1:7" ht="16" x14ac:dyDescent="0.35">
      <c r="A252" s="4">
        <v>44087</v>
      </c>
      <c r="B252" s="5" t="s">
        <v>7</v>
      </c>
      <c r="C252" s="5" t="s">
        <v>16</v>
      </c>
      <c r="D252" s="5" t="s">
        <v>21</v>
      </c>
      <c r="E252" s="5">
        <v>49500</v>
      </c>
      <c r="F252" s="5">
        <v>26</v>
      </c>
      <c r="G252" s="6">
        <f t="shared" si="3"/>
        <v>1287000</v>
      </c>
    </row>
    <row r="253" spans="1:7" ht="16" x14ac:dyDescent="0.35">
      <c r="A253" s="4">
        <v>44088</v>
      </c>
      <c r="B253" s="8" t="s">
        <v>10</v>
      </c>
      <c r="C253" s="8" t="s">
        <v>13</v>
      </c>
      <c r="D253" s="8" t="s">
        <v>21</v>
      </c>
      <c r="E253" s="8">
        <v>960</v>
      </c>
      <c r="F253" s="8">
        <v>16</v>
      </c>
      <c r="G253" s="9">
        <f t="shared" si="3"/>
        <v>15360</v>
      </c>
    </row>
    <row r="254" spans="1:7" ht="16" x14ac:dyDescent="0.35">
      <c r="A254" s="4">
        <v>44089</v>
      </c>
      <c r="B254" s="5" t="s">
        <v>12</v>
      </c>
      <c r="C254" s="5" t="s">
        <v>8</v>
      </c>
      <c r="D254" s="5" t="s">
        <v>18</v>
      </c>
      <c r="E254" s="5">
        <v>5599</v>
      </c>
      <c r="F254" s="5">
        <v>35</v>
      </c>
      <c r="G254" s="6">
        <f t="shared" si="3"/>
        <v>195965</v>
      </c>
    </row>
    <row r="255" spans="1:7" ht="16" x14ac:dyDescent="0.35">
      <c r="A255" s="4">
        <v>44090</v>
      </c>
      <c r="B255" s="8" t="s">
        <v>15</v>
      </c>
      <c r="C255" s="8" t="s">
        <v>17</v>
      </c>
      <c r="D255" s="8" t="s">
        <v>9</v>
      </c>
      <c r="E255" s="8">
        <v>89</v>
      </c>
      <c r="F255" s="8">
        <v>36</v>
      </c>
      <c r="G255" s="9">
        <f t="shared" si="3"/>
        <v>3204</v>
      </c>
    </row>
    <row r="256" spans="1:7" ht="16" x14ac:dyDescent="0.35">
      <c r="A256" s="4">
        <v>44091</v>
      </c>
      <c r="B256" s="5" t="s">
        <v>7</v>
      </c>
      <c r="C256" s="5" t="s">
        <v>8</v>
      </c>
      <c r="D256" s="5" t="s">
        <v>24</v>
      </c>
      <c r="E256" s="5">
        <v>2550</v>
      </c>
      <c r="F256" s="5">
        <v>20</v>
      </c>
      <c r="G256" s="6">
        <f t="shared" si="3"/>
        <v>51000</v>
      </c>
    </row>
    <row r="257" spans="1:7" ht="16" x14ac:dyDescent="0.35">
      <c r="A257" s="4">
        <v>44092</v>
      </c>
      <c r="B257" s="8" t="s">
        <v>12</v>
      </c>
      <c r="C257" s="8" t="s">
        <v>16</v>
      </c>
      <c r="D257" s="8" t="s">
        <v>9</v>
      </c>
      <c r="E257" s="8">
        <v>14500</v>
      </c>
      <c r="F257" s="8">
        <v>47</v>
      </c>
      <c r="G257" s="9">
        <f t="shared" si="3"/>
        <v>681500</v>
      </c>
    </row>
    <row r="258" spans="1:7" ht="16" x14ac:dyDescent="0.35">
      <c r="A258" s="4">
        <v>44093</v>
      </c>
      <c r="B258" s="5" t="s">
        <v>23</v>
      </c>
      <c r="C258" s="5" t="s">
        <v>22</v>
      </c>
      <c r="D258" s="5" t="s">
        <v>18</v>
      </c>
      <c r="E258" s="5">
        <v>2900</v>
      </c>
      <c r="F258" s="5">
        <v>6</v>
      </c>
      <c r="G258" s="6">
        <f t="shared" ref="G258:G279" si="4">E258*F258</f>
        <v>17400</v>
      </c>
    </row>
    <row r="259" spans="1:7" ht="16" x14ac:dyDescent="0.35">
      <c r="A259" s="4">
        <v>44094</v>
      </c>
      <c r="B259" s="8" t="s">
        <v>15</v>
      </c>
      <c r="C259" s="8" t="s">
        <v>17</v>
      </c>
      <c r="D259" s="8" t="s">
        <v>21</v>
      </c>
      <c r="E259" s="8">
        <v>120</v>
      </c>
      <c r="F259" s="8">
        <v>6</v>
      </c>
      <c r="G259" s="9">
        <f t="shared" si="4"/>
        <v>720</v>
      </c>
    </row>
    <row r="260" spans="1:7" ht="16" x14ac:dyDescent="0.35">
      <c r="A260" s="4">
        <v>44095</v>
      </c>
      <c r="B260" s="5" t="s">
        <v>19</v>
      </c>
      <c r="C260" s="5" t="s">
        <v>16</v>
      </c>
      <c r="D260" s="5" t="s">
        <v>14</v>
      </c>
      <c r="E260" s="5">
        <v>52000</v>
      </c>
      <c r="F260" s="5">
        <v>41</v>
      </c>
      <c r="G260" s="6">
        <f t="shared" si="4"/>
        <v>2132000</v>
      </c>
    </row>
    <row r="261" spans="1:7" ht="16" x14ac:dyDescent="0.35">
      <c r="A261" s="4">
        <v>44096</v>
      </c>
      <c r="B261" s="8" t="s">
        <v>10</v>
      </c>
      <c r="C261" s="8" t="s">
        <v>22</v>
      </c>
      <c r="D261" s="8" t="s">
        <v>11</v>
      </c>
      <c r="E261" s="8">
        <v>590</v>
      </c>
      <c r="F261" s="8">
        <v>29</v>
      </c>
      <c r="G261" s="9">
        <f t="shared" si="4"/>
        <v>17110</v>
      </c>
    </row>
    <row r="262" spans="1:7" ht="16" x14ac:dyDescent="0.35">
      <c r="A262" s="4">
        <v>44097</v>
      </c>
      <c r="B262" s="5" t="s">
        <v>19</v>
      </c>
      <c r="C262" s="5" t="s">
        <v>13</v>
      </c>
      <c r="D262" s="5" t="s">
        <v>21</v>
      </c>
      <c r="E262" s="5">
        <v>7999</v>
      </c>
      <c r="F262" s="5">
        <v>31</v>
      </c>
      <c r="G262" s="6">
        <f t="shared" si="4"/>
        <v>247969</v>
      </c>
    </row>
    <row r="263" spans="1:7" ht="16" x14ac:dyDescent="0.35">
      <c r="A263" s="4">
        <v>44098</v>
      </c>
      <c r="B263" s="8" t="s">
        <v>12</v>
      </c>
      <c r="C263" s="8" t="s">
        <v>17</v>
      </c>
      <c r="D263" s="8" t="s">
        <v>11</v>
      </c>
      <c r="E263" s="8">
        <v>999</v>
      </c>
      <c r="F263" s="8">
        <v>34</v>
      </c>
      <c r="G263" s="9">
        <f t="shared" si="4"/>
        <v>33966</v>
      </c>
    </row>
    <row r="264" spans="1:7" ht="16" x14ac:dyDescent="0.35">
      <c r="A264" s="4">
        <v>44099</v>
      </c>
      <c r="B264" s="5" t="s">
        <v>23</v>
      </c>
      <c r="C264" s="5" t="s">
        <v>16</v>
      </c>
      <c r="D264" s="5" t="s">
        <v>14</v>
      </c>
      <c r="E264" s="5">
        <v>990</v>
      </c>
      <c r="F264" s="5">
        <v>43</v>
      </c>
      <c r="G264" s="6">
        <f t="shared" si="4"/>
        <v>42570</v>
      </c>
    </row>
    <row r="265" spans="1:7" ht="16" x14ac:dyDescent="0.35">
      <c r="A265" s="4">
        <v>44100</v>
      </c>
      <c r="B265" s="8" t="s">
        <v>12</v>
      </c>
      <c r="C265" s="8" t="s">
        <v>20</v>
      </c>
      <c r="D265" s="8" t="s">
        <v>9</v>
      </c>
      <c r="E265" s="8">
        <v>11999</v>
      </c>
      <c r="F265" s="8">
        <v>37</v>
      </c>
      <c r="G265" s="9">
        <f t="shared" si="4"/>
        <v>443963</v>
      </c>
    </row>
    <row r="266" spans="1:7" ht="16" x14ac:dyDescent="0.35">
      <c r="A266" s="4">
        <v>44101</v>
      </c>
      <c r="B266" s="5" t="s">
        <v>10</v>
      </c>
      <c r="C266" s="5" t="s">
        <v>13</v>
      </c>
      <c r="D266" s="5" t="s">
        <v>9</v>
      </c>
      <c r="E266" s="5">
        <v>960</v>
      </c>
      <c r="F266" s="5">
        <v>7</v>
      </c>
      <c r="G266" s="6">
        <f t="shared" si="4"/>
        <v>6720</v>
      </c>
    </row>
    <row r="267" spans="1:7" ht="16" x14ac:dyDescent="0.35">
      <c r="A267" s="4">
        <v>44102</v>
      </c>
      <c r="B267" s="8" t="s">
        <v>7</v>
      </c>
      <c r="C267" s="8" t="s">
        <v>8</v>
      </c>
      <c r="D267" s="8" t="s">
        <v>14</v>
      </c>
      <c r="E267" s="8">
        <v>1450</v>
      </c>
      <c r="F267" s="8">
        <v>19</v>
      </c>
      <c r="G267" s="9">
        <f t="shared" si="4"/>
        <v>27550</v>
      </c>
    </row>
    <row r="268" spans="1:7" ht="16" x14ac:dyDescent="0.35">
      <c r="A268" s="4">
        <v>44103</v>
      </c>
      <c r="B268" s="5" t="s">
        <v>23</v>
      </c>
      <c r="C268" s="5" t="s">
        <v>22</v>
      </c>
      <c r="D268" s="5" t="s">
        <v>11</v>
      </c>
      <c r="E268" s="5">
        <v>450</v>
      </c>
      <c r="F268" s="5">
        <v>47</v>
      </c>
      <c r="G268" s="6">
        <f t="shared" si="4"/>
        <v>21150</v>
      </c>
    </row>
    <row r="269" spans="1:7" ht="16" x14ac:dyDescent="0.35">
      <c r="A269" s="4">
        <v>44104</v>
      </c>
      <c r="B269" s="8" t="s">
        <v>12</v>
      </c>
      <c r="C269" s="8" t="s">
        <v>16</v>
      </c>
      <c r="D269" s="8" t="s">
        <v>11</v>
      </c>
      <c r="E269" s="8">
        <v>1499</v>
      </c>
      <c r="F269" s="8">
        <v>37</v>
      </c>
      <c r="G269" s="9">
        <f t="shared" si="4"/>
        <v>55463</v>
      </c>
    </row>
    <row r="270" spans="1:7" ht="16" x14ac:dyDescent="0.35">
      <c r="A270" s="4">
        <v>44105</v>
      </c>
      <c r="B270" s="5" t="s">
        <v>19</v>
      </c>
      <c r="C270" s="5" t="s">
        <v>20</v>
      </c>
      <c r="D270" s="5" t="s">
        <v>11</v>
      </c>
      <c r="E270" s="5">
        <v>79999</v>
      </c>
      <c r="F270" s="5">
        <v>4</v>
      </c>
      <c r="G270" s="6">
        <f t="shared" si="4"/>
        <v>319996</v>
      </c>
    </row>
    <row r="271" spans="1:7" ht="16" x14ac:dyDescent="0.35">
      <c r="A271" s="4">
        <v>44106</v>
      </c>
      <c r="B271" s="8" t="s">
        <v>12</v>
      </c>
      <c r="C271" s="8" t="s">
        <v>17</v>
      </c>
      <c r="D271" s="8" t="s">
        <v>21</v>
      </c>
      <c r="E271" s="8">
        <v>999</v>
      </c>
      <c r="F271" s="8">
        <v>45</v>
      </c>
      <c r="G271" s="9">
        <f t="shared" si="4"/>
        <v>44955</v>
      </c>
    </row>
    <row r="272" spans="1:7" ht="16" x14ac:dyDescent="0.35">
      <c r="A272" s="4">
        <v>44107</v>
      </c>
      <c r="B272" s="5" t="s">
        <v>19</v>
      </c>
      <c r="C272" s="5" t="s">
        <v>20</v>
      </c>
      <c r="D272" s="5" t="s">
        <v>9</v>
      </c>
      <c r="E272" s="5">
        <v>52000</v>
      </c>
      <c r="F272" s="5">
        <v>15</v>
      </c>
      <c r="G272" s="6">
        <f t="shared" si="4"/>
        <v>780000</v>
      </c>
    </row>
    <row r="273" spans="1:7" ht="16" x14ac:dyDescent="0.35">
      <c r="A273" s="4">
        <v>44108</v>
      </c>
      <c r="B273" s="8" t="s">
        <v>10</v>
      </c>
      <c r="C273" s="8" t="s">
        <v>20</v>
      </c>
      <c r="D273" s="8" t="s">
        <v>18</v>
      </c>
      <c r="E273" s="8">
        <v>52000</v>
      </c>
      <c r="F273" s="8">
        <v>39</v>
      </c>
      <c r="G273" s="9">
        <f t="shared" si="4"/>
        <v>2028000</v>
      </c>
    </row>
    <row r="274" spans="1:7" ht="16" x14ac:dyDescent="0.35">
      <c r="A274" s="4">
        <v>44109</v>
      </c>
      <c r="B274" s="5" t="s">
        <v>12</v>
      </c>
      <c r="C274" s="5" t="s">
        <v>13</v>
      </c>
      <c r="D274" s="5" t="s">
        <v>18</v>
      </c>
      <c r="E274" s="5">
        <v>960</v>
      </c>
      <c r="F274" s="5">
        <v>33</v>
      </c>
      <c r="G274" s="6">
        <f t="shared" si="4"/>
        <v>31680</v>
      </c>
    </row>
    <row r="275" spans="1:7" ht="16" x14ac:dyDescent="0.35">
      <c r="A275" s="4">
        <v>44110</v>
      </c>
      <c r="B275" s="10" t="s">
        <v>19</v>
      </c>
      <c r="C275" s="10" t="s">
        <v>13</v>
      </c>
      <c r="D275" s="10" t="s">
        <v>14</v>
      </c>
      <c r="E275" s="10">
        <v>1450</v>
      </c>
      <c r="F275" s="10">
        <v>34</v>
      </c>
      <c r="G275" s="11">
        <f t="shared" si="4"/>
        <v>49300</v>
      </c>
    </row>
    <row r="276" spans="1:7" ht="16" x14ac:dyDescent="0.35">
      <c r="A276" s="4">
        <v>44111</v>
      </c>
      <c r="B276" s="5" t="s">
        <v>23</v>
      </c>
      <c r="C276" s="5" t="s">
        <v>22</v>
      </c>
      <c r="D276" s="5" t="s">
        <v>24</v>
      </c>
      <c r="E276" s="5">
        <v>2500</v>
      </c>
      <c r="F276" s="5">
        <v>100</v>
      </c>
      <c r="G276" s="6">
        <f t="shared" si="4"/>
        <v>250000</v>
      </c>
    </row>
    <row r="277" spans="1:7" ht="16" x14ac:dyDescent="0.35">
      <c r="A277" s="4">
        <v>44112</v>
      </c>
      <c r="B277" s="8" t="s">
        <v>10</v>
      </c>
      <c r="C277" s="8" t="s">
        <v>16</v>
      </c>
      <c r="D277" s="8" t="s">
        <v>24</v>
      </c>
      <c r="E277" s="8">
        <v>86540</v>
      </c>
      <c r="F277" s="8">
        <v>6</v>
      </c>
      <c r="G277" s="9">
        <f t="shared" si="4"/>
        <v>519240</v>
      </c>
    </row>
    <row r="278" spans="1:7" ht="16" x14ac:dyDescent="0.35">
      <c r="A278" s="4">
        <v>44113</v>
      </c>
      <c r="B278" s="5" t="s">
        <v>15</v>
      </c>
      <c r="C278" s="5" t="s">
        <v>17</v>
      </c>
      <c r="D278" s="5" t="s">
        <v>24</v>
      </c>
      <c r="E278" s="5">
        <v>550</v>
      </c>
      <c r="F278" s="5">
        <v>44</v>
      </c>
      <c r="G278" s="6">
        <f t="shared" si="4"/>
        <v>24200</v>
      </c>
    </row>
    <row r="279" spans="1:7" ht="16" x14ac:dyDescent="0.35">
      <c r="A279" s="4">
        <v>44114</v>
      </c>
      <c r="B279" s="8" t="s">
        <v>12</v>
      </c>
      <c r="C279" s="8" t="s">
        <v>20</v>
      </c>
      <c r="D279" s="8" t="s">
        <v>24</v>
      </c>
      <c r="E279" s="8">
        <v>65400</v>
      </c>
      <c r="F279" s="8">
        <v>19</v>
      </c>
      <c r="G279" s="9">
        <f t="shared" si="4"/>
        <v>1242600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5BDD5-9BF0-4DD9-ACB3-D32F3D293AA0}">
  <dimension ref="A1"/>
  <sheetViews>
    <sheetView tabSelected="1" zoomScale="79" zoomScaleNormal="100" workbookViewId="0"/>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BD204-DE6D-4A87-82AE-F2EF71E066F6}">
  <dimension ref="A1"/>
  <sheetViews>
    <sheetView zoomScale="73" zoomScaleNormal="85" workbookViewId="0"/>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BB4B7-2011-4701-8C98-B210D0DE28CF}">
  <dimension ref="A1"/>
  <sheetViews>
    <sheetView zoomScale="69" zoomScaleNormal="85" workbookViewId="0"/>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27FCD-6ADC-4837-8C62-F5C8C1ED6747}">
  <dimension ref="A1:C80"/>
  <sheetViews>
    <sheetView topLeftCell="A48" zoomScale="63" workbookViewId="0">
      <selection activeCell="B66" sqref="B66"/>
    </sheetView>
  </sheetViews>
  <sheetFormatPr defaultRowHeight="14.5" x14ac:dyDescent="0.35"/>
  <cols>
    <col min="1" max="1" width="14.08984375" bestFit="1" customWidth="1"/>
    <col min="2" max="2" width="14.36328125" bestFit="1" customWidth="1"/>
  </cols>
  <sheetData>
    <row r="1" spans="1:3" x14ac:dyDescent="0.35">
      <c r="A1" s="17"/>
      <c r="B1" s="18"/>
      <c r="C1" s="19"/>
    </row>
    <row r="2" spans="1:3" x14ac:dyDescent="0.35">
      <c r="A2" s="20"/>
      <c r="B2" s="21"/>
      <c r="C2" s="22"/>
    </row>
    <row r="3" spans="1:3" x14ac:dyDescent="0.35">
      <c r="A3" s="20"/>
      <c r="B3" s="21"/>
      <c r="C3" s="22"/>
    </row>
    <row r="4" spans="1:3" x14ac:dyDescent="0.35">
      <c r="A4" s="20"/>
      <c r="B4" s="21"/>
      <c r="C4" s="22"/>
    </row>
    <row r="5" spans="1:3" x14ac:dyDescent="0.35">
      <c r="A5" s="20"/>
      <c r="B5" s="21"/>
      <c r="C5" s="22"/>
    </row>
    <row r="6" spans="1:3" x14ac:dyDescent="0.35">
      <c r="A6" s="20"/>
      <c r="B6" s="21"/>
      <c r="C6" s="22"/>
    </row>
    <row r="7" spans="1:3" x14ac:dyDescent="0.35">
      <c r="A7" s="20"/>
      <c r="B7" s="21"/>
      <c r="C7" s="22"/>
    </row>
    <row r="8" spans="1:3" x14ac:dyDescent="0.35">
      <c r="A8" s="20"/>
      <c r="B8" s="21"/>
      <c r="C8" s="22"/>
    </row>
    <row r="9" spans="1:3" x14ac:dyDescent="0.35">
      <c r="A9" s="20"/>
      <c r="B9" s="21"/>
      <c r="C9" s="22"/>
    </row>
    <row r="10" spans="1:3" x14ac:dyDescent="0.35">
      <c r="A10" s="20"/>
      <c r="B10" s="21"/>
      <c r="C10" s="22"/>
    </row>
    <row r="11" spans="1:3" x14ac:dyDescent="0.35">
      <c r="A11" s="20"/>
      <c r="B11" s="21"/>
      <c r="C11" s="22"/>
    </row>
    <row r="12" spans="1:3" x14ac:dyDescent="0.35">
      <c r="A12" s="20"/>
      <c r="B12" s="21"/>
      <c r="C12" s="22"/>
    </row>
    <row r="13" spans="1:3" x14ac:dyDescent="0.35">
      <c r="A13" s="20"/>
      <c r="B13" s="21"/>
      <c r="C13" s="22"/>
    </row>
    <row r="14" spans="1:3" x14ac:dyDescent="0.35">
      <c r="A14" s="20"/>
      <c r="B14" s="21"/>
      <c r="C14" s="22"/>
    </row>
    <row r="15" spans="1:3" x14ac:dyDescent="0.35">
      <c r="A15" s="20"/>
      <c r="B15" s="21"/>
      <c r="C15" s="22"/>
    </row>
    <row r="16" spans="1:3" x14ac:dyDescent="0.35">
      <c r="A16" s="20"/>
      <c r="B16" s="21"/>
      <c r="C16" s="22"/>
    </row>
    <row r="17" spans="1:3" x14ac:dyDescent="0.35">
      <c r="A17" s="20"/>
      <c r="B17" s="21"/>
      <c r="C17" s="22"/>
    </row>
    <row r="18" spans="1:3" x14ac:dyDescent="0.35">
      <c r="A18" s="23"/>
      <c r="B18" s="24"/>
      <c r="C18" s="25"/>
    </row>
    <row r="62" spans="1:2" x14ac:dyDescent="0.35">
      <c r="A62" s="26" t="s">
        <v>25</v>
      </c>
      <c r="B62" s="27" t="s">
        <v>38</v>
      </c>
    </row>
    <row r="63" spans="1:2" x14ac:dyDescent="0.35">
      <c r="A63" s="28" t="s">
        <v>27</v>
      </c>
      <c r="B63" s="30"/>
    </row>
    <row r="64" spans="1:2" x14ac:dyDescent="0.35">
      <c r="A64" s="28" t="s">
        <v>28</v>
      </c>
      <c r="B64" s="30">
        <v>13159970</v>
      </c>
    </row>
    <row r="65" spans="1:2" x14ac:dyDescent="0.35">
      <c r="A65" s="28" t="s">
        <v>29</v>
      </c>
      <c r="B65" s="30">
        <v>14618518</v>
      </c>
    </row>
    <row r="66" spans="1:2" x14ac:dyDescent="0.35">
      <c r="A66" s="28" t="s">
        <v>30</v>
      </c>
      <c r="B66" s="30">
        <v>19775394</v>
      </c>
    </row>
    <row r="67" spans="1:2" x14ac:dyDescent="0.35">
      <c r="A67" s="28" t="s">
        <v>31</v>
      </c>
      <c r="B67" s="30">
        <v>12933156</v>
      </c>
    </row>
    <row r="68" spans="1:2" x14ac:dyDescent="0.35">
      <c r="A68" s="28" t="s">
        <v>32</v>
      </c>
      <c r="B68" s="30">
        <v>6664298</v>
      </c>
    </row>
    <row r="69" spans="1:2" x14ac:dyDescent="0.35">
      <c r="A69" s="28" t="s">
        <v>33</v>
      </c>
      <c r="B69" s="30">
        <v>16471351</v>
      </c>
    </row>
    <row r="70" spans="1:2" x14ac:dyDescent="0.35">
      <c r="A70" s="28" t="s">
        <v>34</v>
      </c>
      <c r="B70" s="30">
        <v>8221861</v>
      </c>
    </row>
    <row r="71" spans="1:2" x14ac:dyDescent="0.35">
      <c r="A71" s="28" t="s">
        <v>35</v>
      </c>
      <c r="B71" s="30">
        <v>11159714</v>
      </c>
    </row>
    <row r="72" spans="1:2" x14ac:dyDescent="0.35">
      <c r="A72" s="28" t="s">
        <v>36</v>
      </c>
      <c r="B72" s="30">
        <v>10437660</v>
      </c>
    </row>
    <row r="73" spans="1:2" x14ac:dyDescent="0.35">
      <c r="A73" s="28" t="s">
        <v>37</v>
      </c>
      <c r="B73" s="30">
        <v>5289971</v>
      </c>
    </row>
    <row r="74" spans="1:2" x14ac:dyDescent="0.35">
      <c r="A74" s="28" t="s">
        <v>26</v>
      </c>
      <c r="B74" s="30">
        <v>118731893</v>
      </c>
    </row>
    <row r="80" spans="1:2" x14ac:dyDescent="0.35">
      <c r="B80" t="s">
        <v>49</v>
      </c>
    </row>
  </sheetData>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B6BC7-4598-460D-B05E-A573815EE7DE}">
  <dimension ref="A1:B15"/>
  <sheetViews>
    <sheetView zoomScale="88" workbookViewId="0">
      <selection activeCell="B5" sqref="B5"/>
    </sheetView>
  </sheetViews>
  <sheetFormatPr defaultRowHeight="14.5" x14ac:dyDescent="0.35"/>
  <cols>
    <col min="1" max="1" width="12.7265625" bestFit="1" customWidth="1"/>
    <col min="2" max="2" width="14" bestFit="1" customWidth="1"/>
  </cols>
  <sheetData>
    <row r="1" spans="1:2" x14ac:dyDescent="0.35">
      <c r="A1" s="12" t="s">
        <v>25</v>
      </c>
      <c r="B1" t="s">
        <v>38</v>
      </c>
    </row>
    <row r="2" spans="1:2" x14ac:dyDescent="0.35">
      <c r="A2" s="13" t="s">
        <v>14</v>
      </c>
      <c r="B2" s="14">
        <v>16052685</v>
      </c>
    </row>
    <row r="3" spans="1:2" x14ac:dyDescent="0.35">
      <c r="A3" s="13" t="s">
        <v>21</v>
      </c>
      <c r="B3" s="14">
        <v>16926316</v>
      </c>
    </row>
    <row r="4" spans="1:2" x14ac:dyDescent="0.35">
      <c r="A4" s="13" t="s">
        <v>9</v>
      </c>
      <c r="B4" s="14">
        <v>19179514</v>
      </c>
    </row>
    <row r="5" spans="1:2" x14ac:dyDescent="0.35">
      <c r="A5" s="13" t="s">
        <v>24</v>
      </c>
      <c r="B5" s="14">
        <v>10438408</v>
      </c>
    </row>
    <row r="6" spans="1:2" x14ac:dyDescent="0.35">
      <c r="A6" s="13" t="s">
        <v>18</v>
      </c>
      <c r="B6" s="14">
        <v>41054876</v>
      </c>
    </row>
    <row r="7" spans="1:2" x14ac:dyDescent="0.35">
      <c r="A7" s="13" t="s">
        <v>11</v>
      </c>
      <c r="B7" s="14">
        <v>15080094</v>
      </c>
    </row>
    <row r="8" spans="1:2" x14ac:dyDescent="0.35">
      <c r="A8" s="13" t="s">
        <v>40</v>
      </c>
      <c r="B8" s="14"/>
    </row>
    <row r="9" spans="1:2" x14ac:dyDescent="0.35">
      <c r="A9" s="13" t="s">
        <v>26</v>
      </c>
      <c r="B9" s="14">
        <v>118731893</v>
      </c>
    </row>
    <row r="15" spans="1:2" x14ac:dyDescent="0.35">
      <c r="A15" t="s">
        <v>50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1293E-2A5D-49EE-BFED-85A48424A16E}">
  <dimension ref="A1:C33"/>
  <sheetViews>
    <sheetView topLeftCell="A9" zoomScale="99" workbookViewId="0">
      <selection sqref="A1:B9"/>
    </sheetView>
  </sheetViews>
  <sheetFormatPr defaultRowHeight="14.5" x14ac:dyDescent="0.35"/>
  <cols>
    <col min="1" max="1" width="15.6328125" bestFit="1" customWidth="1"/>
    <col min="2" max="2" width="14.1796875" bestFit="1" customWidth="1"/>
    <col min="3" max="3" width="16.6328125" bestFit="1" customWidth="1"/>
  </cols>
  <sheetData>
    <row r="1" spans="1:2" x14ac:dyDescent="0.35">
      <c r="A1" s="12" t="s">
        <v>25</v>
      </c>
      <c r="B1" t="s">
        <v>38</v>
      </c>
    </row>
    <row r="2" spans="1:2" x14ac:dyDescent="0.35">
      <c r="A2" s="13" t="s">
        <v>16</v>
      </c>
      <c r="B2" s="16">
        <v>0.39442202778658636</v>
      </c>
    </row>
    <row r="3" spans="1:2" x14ac:dyDescent="0.35">
      <c r="A3" s="13" t="s">
        <v>8</v>
      </c>
      <c r="B3" s="16">
        <v>4.4333858974184806E-2</v>
      </c>
    </row>
    <row r="4" spans="1:2" x14ac:dyDescent="0.35">
      <c r="A4" s="13" t="s">
        <v>20</v>
      </c>
      <c r="B4" s="16">
        <v>0.41026059443017554</v>
      </c>
    </row>
    <row r="5" spans="1:2" x14ac:dyDescent="0.35">
      <c r="A5" s="13" t="s">
        <v>13</v>
      </c>
      <c r="B5" s="16">
        <v>2.9676432430838107E-2</v>
      </c>
    </row>
    <row r="6" spans="1:2" x14ac:dyDescent="0.35">
      <c r="A6" s="13" t="s">
        <v>17</v>
      </c>
      <c r="B6" s="16">
        <v>8.7710746766245865E-2</v>
      </c>
    </row>
    <row r="7" spans="1:2" x14ac:dyDescent="0.35">
      <c r="A7" s="13" t="s">
        <v>22</v>
      </c>
      <c r="B7" s="16">
        <v>3.3596339611969298E-2</v>
      </c>
    </row>
    <row r="8" spans="1:2" x14ac:dyDescent="0.35">
      <c r="A8" s="13" t="s">
        <v>40</v>
      </c>
      <c r="B8" s="16">
        <v>0</v>
      </c>
    </row>
    <row r="9" spans="1:2" x14ac:dyDescent="0.35">
      <c r="A9" s="13" t="s">
        <v>26</v>
      </c>
      <c r="B9" s="16">
        <v>1</v>
      </c>
    </row>
    <row r="14" spans="1:2" x14ac:dyDescent="0.35">
      <c r="A14" t="s">
        <v>48</v>
      </c>
    </row>
    <row r="26" spans="1:3" x14ac:dyDescent="0.35">
      <c r="A26" t="s">
        <v>38</v>
      </c>
    </row>
    <row r="27" spans="1:3" x14ac:dyDescent="0.35">
      <c r="A27" s="29">
        <v>118731893</v>
      </c>
      <c r="C27" s="15">
        <f>GETPIVOTDATA("Amount",$A$26)</f>
        <v>118731893</v>
      </c>
    </row>
    <row r="32" spans="1:3" x14ac:dyDescent="0.35">
      <c r="A32" t="s">
        <v>39</v>
      </c>
    </row>
    <row r="33" spans="1:3" x14ac:dyDescent="0.35">
      <c r="A33" s="29">
        <v>278</v>
      </c>
      <c r="C33">
        <f>GETPIVOTDATA("Amount",$A$32)</f>
        <v>278</v>
      </c>
    </row>
  </sheetData>
  <pageMargins left="0.7" right="0.7" top="0.75" bottom="0.75" header="0.3" footer="0.3"/>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94C72-0501-4C5E-A466-80338FCB1795}">
  <dimension ref="A1:B9"/>
  <sheetViews>
    <sheetView workbookViewId="0">
      <selection activeCell="A26" sqref="A26"/>
    </sheetView>
  </sheetViews>
  <sheetFormatPr defaultRowHeight="14.5" x14ac:dyDescent="0.35"/>
  <cols>
    <col min="1" max="1" width="12.36328125" bestFit="1" customWidth="1"/>
    <col min="2" max="2" width="11.453125" bestFit="1" customWidth="1"/>
  </cols>
  <sheetData>
    <row r="1" spans="1:2" x14ac:dyDescent="0.35">
      <c r="A1" s="26" t="s">
        <v>25</v>
      </c>
      <c r="B1" s="27" t="s">
        <v>41</v>
      </c>
    </row>
    <row r="2" spans="1:2" x14ac:dyDescent="0.35">
      <c r="A2" s="28" t="s">
        <v>22</v>
      </c>
      <c r="B2" s="30">
        <v>1457</v>
      </c>
    </row>
    <row r="3" spans="1:2" x14ac:dyDescent="0.35">
      <c r="A3" s="28" t="s">
        <v>16</v>
      </c>
      <c r="B3" s="30">
        <v>1503</v>
      </c>
    </row>
    <row r="4" spans="1:2" x14ac:dyDescent="0.35">
      <c r="A4" s="28" t="s">
        <v>20</v>
      </c>
      <c r="B4" s="30">
        <v>1615</v>
      </c>
    </row>
    <row r="5" spans="1:2" x14ac:dyDescent="0.35">
      <c r="A5" s="28" t="s">
        <v>26</v>
      </c>
      <c r="B5" s="30">
        <v>4575</v>
      </c>
    </row>
    <row r="9" spans="1:2" x14ac:dyDescent="0.35">
      <c r="A9" t="s">
        <v>47</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E9BFC-6100-4D88-A5B3-86BDFCD1FB22}">
  <dimension ref="A1:B10"/>
  <sheetViews>
    <sheetView zoomScale="66" workbookViewId="0">
      <selection activeCell="B16" sqref="B16"/>
    </sheetView>
  </sheetViews>
  <sheetFormatPr defaultRowHeight="14.5" x14ac:dyDescent="0.35"/>
  <cols>
    <col min="1" max="1" width="13.90625" bestFit="1" customWidth="1"/>
    <col min="2" max="2" width="11.81640625" bestFit="1" customWidth="1"/>
  </cols>
  <sheetData>
    <row r="1" spans="1:2" x14ac:dyDescent="0.35">
      <c r="A1" s="26" t="s">
        <v>25</v>
      </c>
      <c r="B1" s="27" t="s">
        <v>41</v>
      </c>
    </row>
    <row r="2" spans="1:2" x14ac:dyDescent="0.35">
      <c r="A2" s="28" t="s">
        <v>8</v>
      </c>
      <c r="B2" s="30">
        <v>1233</v>
      </c>
    </row>
    <row r="3" spans="1:2" x14ac:dyDescent="0.35">
      <c r="A3" s="28" t="s">
        <v>17</v>
      </c>
      <c r="B3" s="30">
        <v>1168</v>
      </c>
    </row>
    <row r="4" spans="1:2" x14ac:dyDescent="0.35">
      <c r="A4" s="28" t="s">
        <v>13</v>
      </c>
      <c r="B4" s="30">
        <v>694</v>
      </c>
    </row>
    <row r="5" spans="1:2" x14ac:dyDescent="0.35">
      <c r="A5" s="28" t="s">
        <v>40</v>
      </c>
      <c r="B5" s="30"/>
    </row>
    <row r="6" spans="1:2" x14ac:dyDescent="0.35">
      <c r="A6" s="28" t="s">
        <v>26</v>
      </c>
      <c r="B6" s="30">
        <v>3095</v>
      </c>
    </row>
    <row r="10" spans="1:2" x14ac:dyDescent="0.35">
      <c r="A10" t="s">
        <v>46</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82300-455D-4425-B7EE-3DD19E0CE2CA}">
  <dimension ref="A1:B13"/>
  <sheetViews>
    <sheetView workbookViewId="0">
      <selection activeCell="B5" sqref="B5"/>
    </sheetView>
  </sheetViews>
  <sheetFormatPr defaultRowHeight="14.5" x14ac:dyDescent="0.35"/>
  <cols>
    <col min="1" max="1" width="12.36328125" bestFit="1" customWidth="1"/>
    <col min="2" max="2" width="11.453125" bestFit="1" customWidth="1"/>
  </cols>
  <sheetData>
    <row r="1" spans="1:2" x14ac:dyDescent="0.35">
      <c r="A1" s="12" t="s">
        <v>25</v>
      </c>
      <c r="B1" t="s">
        <v>41</v>
      </c>
    </row>
    <row r="2" spans="1:2" x14ac:dyDescent="0.35">
      <c r="A2" s="13" t="s">
        <v>16</v>
      </c>
      <c r="B2" s="29">
        <v>1503</v>
      </c>
    </row>
    <row r="3" spans="1:2" x14ac:dyDescent="0.35">
      <c r="A3" s="13" t="s">
        <v>8</v>
      </c>
      <c r="B3" s="29">
        <v>1233</v>
      </c>
    </row>
    <row r="4" spans="1:2" x14ac:dyDescent="0.35">
      <c r="A4" s="13" t="s">
        <v>20</v>
      </c>
      <c r="B4" s="29">
        <v>1615</v>
      </c>
    </row>
    <row r="5" spans="1:2" x14ac:dyDescent="0.35">
      <c r="A5" s="13" t="s">
        <v>13</v>
      </c>
      <c r="B5" s="29">
        <v>694</v>
      </c>
    </row>
    <row r="6" spans="1:2" x14ac:dyDescent="0.35">
      <c r="A6" s="13" t="s">
        <v>17</v>
      </c>
      <c r="B6" s="29">
        <v>1168</v>
      </c>
    </row>
    <row r="7" spans="1:2" x14ac:dyDescent="0.35">
      <c r="A7" s="13" t="s">
        <v>22</v>
      </c>
      <c r="B7" s="29">
        <v>1457</v>
      </c>
    </row>
    <row r="8" spans="1:2" x14ac:dyDescent="0.35">
      <c r="A8" s="13" t="s">
        <v>40</v>
      </c>
      <c r="B8" s="29"/>
    </row>
    <row r="9" spans="1:2" x14ac:dyDescent="0.35">
      <c r="A9" s="13" t="s">
        <v>26</v>
      </c>
      <c r="B9" s="29">
        <v>7670</v>
      </c>
    </row>
    <row r="13" spans="1:2" x14ac:dyDescent="0.35">
      <c r="A13" t="s">
        <v>42</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884C8-7E3A-4DC4-9097-9322140BCD86}">
  <dimension ref="A1:B10"/>
  <sheetViews>
    <sheetView workbookViewId="0">
      <selection activeCell="A2" sqref="A2"/>
    </sheetView>
  </sheetViews>
  <sheetFormatPr defaultRowHeight="14.5" x14ac:dyDescent="0.35"/>
  <cols>
    <col min="1" max="1" width="12.36328125" bestFit="1" customWidth="1"/>
    <col min="2" max="2" width="11.453125" bestFit="1" customWidth="1"/>
  </cols>
  <sheetData>
    <row r="1" spans="1:2" x14ac:dyDescent="0.35">
      <c r="A1" s="26" t="s">
        <v>25</v>
      </c>
      <c r="B1" s="27" t="s">
        <v>41</v>
      </c>
    </row>
    <row r="2" spans="1:2" x14ac:dyDescent="0.35">
      <c r="A2" s="28" t="s">
        <v>10</v>
      </c>
      <c r="B2" s="30">
        <v>1407</v>
      </c>
    </row>
    <row r="3" spans="1:2" x14ac:dyDescent="0.35">
      <c r="A3" s="28" t="s">
        <v>12</v>
      </c>
      <c r="B3" s="30">
        <v>1534</v>
      </c>
    </row>
    <row r="4" spans="1:2" x14ac:dyDescent="0.35">
      <c r="A4" s="28" t="s">
        <v>19</v>
      </c>
      <c r="B4" s="30">
        <v>1687</v>
      </c>
    </row>
    <row r="5" spans="1:2" x14ac:dyDescent="0.35">
      <c r="A5" s="28" t="s">
        <v>26</v>
      </c>
      <c r="B5" s="30">
        <v>4628</v>
      </c>
    </row>
    <row r="10" spans="1:2" x14ac:dyDescent="0.35">
      <c r="A10" t="s">
        <v>43</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C5BA4-687B-4A09-A3FD-F5B4FBECD74A}">
  <dimension ref="A1:B12"/>
  <sheetViews>
    <sheetView workbookViewId="0">
      <selection activeCell="B2" sqref="B2"/>
    </sheetView>
  </sheetViews>
  <sheetFormatPr defaultRowHeight="14.5" x14ac:dyDescent="0.35"/>
  <cols>
    <col min="1" max="1" width="12.36328125" bestFit="1" customWidth="1"/>
    <col min="2" max="2" width="11.453125" bestFit="1" customWidth="1"/>
  </cols>
  <sheetData>
    <row r="1" spans="1:2" x14ac:dyDescent="0.35">
      <c r="A1" s="26" t="s">
        <v>25</v>
      </c>
      <c r="B1" s="27" t="s">
        <v>41</v>
      </c>
    </row>
    <row r="2" spans="1:2" x14ac:dyDescent="0.35">
      <c r="A2" s="28" t="s">
        <v>23</v>
      </c>
      <c r="B2" s="30">
        <v>1285</v>
      </c>
    </row>
    <row r="3" spans="1:2" x14ac:dyDescent="0.35">
      <c r="A3" s="28" t="s">
        <v>7</v>
      </c>
      <c r="B3" s="30">
        <v>947</v>
      </c>
    </row>
    <row r="4" spans="1:2" x14ac:dyDescent="0.35">
      <c r="A4" s="28" t="s">
        <v>15</v>
      </c>
      <c r="B4" s="30">
        <v>810</v>
      </c>
    </row>
    <row r="5" spans="1:2" x14ac:dyDescent="0.35">
      <c r="A5" s="28" t="s">
        <v>40</v>
      </c>
      <c r="B5" s="30"/>
    </row>
    <row r="6" spans="1:2" x14ac:dyDescent="0.35">
      <c r="A6" s="28" t="s">
        <v>26</v>
      </c>
      <c r="B6" s="30">
        <v>3042</v>
      </c>
    </row>
    <row r="12" spans="1:2" x14ac:dyDescent="0.35">
      <c r="A12" t="s">
        <v>44</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75A3C-E369-4EC9-8367-B8FEA07CA4E3}">
  <dimension ref="A1:B14"/>
  <sheetViews>
    <sheetView workbookViewId="0">
      <selection activeCell="B4" sqref="B4"/>
    </sheetView>
  </sheetViews>
  <sheetFormatPr defaultRowHeight="14.5" x14ac:dyDescent="0.35"/>
  <cols>
    <col min="1" max="1" width="12.36328125" bestFit="1" customWidth="1"/>
    <col min="2" max="2" width="11.453125" bestFit="1" customWidth="1"/>
  </cols>
  <sheetData>
    <row r="1" spans="1:2" x14ac:dyDescent="0.35">
      <c r="A1" s="12" t="s">
        <v>25</v>
      </c>
      <c r="B1" t="s">
        <v>41</v>
      </c>
    </row>
    <row r="2" spans="1:2" x14ac:dyDescent="0.35">
      <c r="A2" s="13" t="s">
        <v>19</v>
      </c>
      <c r="B2" s="29">
        <v>1687</v>
      </c>
    </row>
    <row r="3" spans="1:2" x14ac:dyDescent="0.35">
      <c r="A3" s="13" t="s">
        <v>12</v>
      </c>
      <c r="B3" s="29">
        <v>1534</v>
      </c>
    </row>
    <row r="4" spans="1:2" x14ac:dyDescent="0.35">
      <c r="A4" s="13" t="s">
        <v>10</v>
      </c>
      <c r="B4" s="29">
        <v>1407</v>
      </c>
    </row>
    <row r="5" spans="1:2" x14ac:dyDescent="0.35">
      <c r="A5" s="13" t="s">
        <v>15</v>
      </c>
      <c r="B5" s="29">
        <v>810</v>
      </c>
    </row>
    <row r="6" spans="1:2" x14ac:dyDescent="0.35">
      <c r="A6" s="13" t="s">
        <v>23</v>
      </c>
      <c r="B6" s="29">
        <v>1285</v>
      </c>
    </row>
    <row r="7" spans="1:2" x14ac:dyDescent="0.35">
      <c r="A7" s="13" t="s">
        <v>7</v>
      </c>
      <c r="B7" s="29">
        <v>947</v>
      </c>
    </row>
    <row r="8" spans="1:2" x14ac:dyDescent="0.35">
      <c r="A8" s="13" t="s">
        <v>40</v>
      </c>
      <c r="B8" s="29"/>
    </row>
    <row r="9" spans="1:2" x14ac:dyDescent="0.35">
      <c r="A9" s="13" t="s">
        <v>26</v>
      </c>
      <c r="B9" s="29">
        <v>7670</v>
      </c>
    </row>
    <row r="14" spans="1:2" x14ac:dyDescent="0.35">
      <c r="A14" t="s">
        <v>45</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MASTER DATA</vt:lpstr>
      <vt:lpstr>DASH BOARD</vt:lpstr>
      <vt:lpstr>PRODUCTS</vt:lpstr>
      <vt:lpstr>SALES MENS</vt:lpstr>
      <vt:lpstr>PIVOT TABLE -1</vt:lpstr>
      <vt:lpstr>PIVOT TABLE -2</vt:lpstr>
      <vt:lpstr>PIVOT TABLE-3</vt:lpstr>
      <vt:lpstr>PIVOT TABLE -4</vt:lpstr>
      <vt:lpstr>PIVOT TABLE- 5</vt:lpstr>
      <vt:lpstr>PIVOT TABLE-6</vt:lpstr>
      <vt:lpstr>PIVOT TABLE- 7 </vt:lpstr>
      <vt:lpstr>PIVOT TABLE- 8</vt:lpstr>
      <vt:lpstr>PIVOT TABLE- 9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sai krishna Reddy</dc:creator>
  <cp:lastModifiedBy>sai krishna Reddy</cp:lastModifiedBy>
  <dcterms:created xsi:type="dcterms:W3CDTF">2025-05-24T16:30:58Z</dcterms:created>
  <dcterms:modified xsi:type="dcterms:W3CDTF">2025-11-03T11:06:23Z</dcterms:modified>
</cp:coreProperties>
</file>